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Development Cost" sheetId="3" state="visible" r:id="rId5"/>
    <sheet name="Revenue" sheetId="4" state="visible" r:id="rId6"/>
    <sheet name="P&amp;L &amp; Break-even" sheetId="5" state="visible" r:id="rId7"/>
    <sheet name="Market Estimation" sheetId="6" state="visible" r:id="rId8"/>
    <sheet name="Roadmap" sheetId="7" state="visible" r:id="rId9"/>
    <sheet name="Comparable Games" sheetId="8" state="visible" r:id="rId10"/>
    <sheet name="How to us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<sst xmlns="http://schemas.openxmlformats.org/spreadsheetml/2006/main" count="451" uniqueCount="296">
  <si>
    <t xml:space="preserve">Another Home — Financial Model Summary (for Pitchdeck)</t>
  </si>
  <si>
    <t xml:space="preserve">Team 7 · Intro to Game Planning 2026-2 · All values USD · Everything here is calculated — edit the Assumptions sheet</t>
  </si>
  <si>
    <t xml:space="preserve">Pricing (Price slide)</t>
  </si>
  <si>
    <t xml:space="preserve">Value</t>
  </si>
  <si>
    <t xml:space="preserve">Another Home — Steam (PC / Steam Deck)</t>
  </si>
  <si>
    <t xml:space="preserve">Furniture DLC pack</t>
  </si>
  <si>
    <t xml:space="preserve">Original Soundtrack</t>
  </si>
  <si>
    <t xml:space="preserve">Browser version on itch.io</t>
  </si>
  <si>
    <t xml:space="preserve">Free / name your price</t>
  </si>
  <si>
    <t xml:space="preserve">Production budget</t>
  </si>
  <si>
    <t xml:space="preserve">Planned development + launch cost</t>
  </si>
  <si>
    <t xml:space="preserve">Scenario comparison (Gross Revenue &amp; Targets slides)</t>
  </si>
  <si>
    <t xml:space="preserve">Low</t>
  </si>
  <si>
    <t xml:space="preserve">Base</t>
  </si>
  <si>
    <t xml:space="preserve">High</t>
  </si>
  <si>
    <t xml:space="preserve">Unit</t>
  </si>
  <si>
    <t xml:space="preserve">Wishlists at launch</t>
  </si>
  <si>
    <t xml:space="preserve">wishlists</t>
  </si>
  <si>
    <t xml:space="preserve">Steam copies — Year 1</t>
  </si>
  <si>
    <t xml:space="preserve">copies</t>
  </si>
  <si>
    <t xml:space="preserve">Steam copies — 3 years</t>
  </si>
  <si>
    <t xml:space="preserve">Gross revenue — Year 1</t>
  </si>
  <si>
    <t xml:space="preserve">USD</t>
  </si>
  <si>
    <t xml:space="preserve">Gross revenue — Year 2</t>
  </si>
  <si>
    <t xml:space="preserve">Gross revenue — Year 3</t>
  </si>
  <si>
    <t xml:space="preserve">Gross revenue — 3 years total</t>
  </si>
  <si>
    <t xml:space="preserve">Net revenue — 3 years total</t>
  </si>
  <si>
    <t xml:space="preserve">Net profit incl. development — 3 years</t>
  </si>
  <si>
    <t xml:space="preserve">ROI after 3 years</t>
  </si>
  <si>
    <t xml:space="preserve">%</t>
  </si>
  <si>
    <t xml:space="preserve">NPV of 3 years</t>
  </si>
  <si>
    <t xml:space="preserve">Break-even</t>
  </si>
  <si>
    <t xml:space="preserve">Revenue mix — Base, 3 years</t>
  </si>
  <si>
    <t xml:space="preserve">% of gross</t>
  </si>
  <si>
    <t xml:space="preserve">Game sales (Steam)</t>
  </si>
  <si>
    <t xml:space="preserve">Furniture DLC</t>
  </si>
  <si>
    <t xml:space="preserve">Soundtrack</t>
  </si>
  <si>
    <t xml:space="preserve">itch.io browser tips</t>
  </si>
  <si>
    <t xml:space="preserve">Total gross</t>
  </si>
  <si>
    <t xml:space="preserve">Budget split (Development Cost slide)</t>
  </si>
  <si>
    <t xml:space="preserve">% of budget</t>
  </si>
  <si>
    <t xml:space="preserve">Team (personnel)</t>
  </si>
  <si>
    <t xml:space="preserve">Tools, legal &amp; marketing</t>
  </si>
  <si>
    <t xml:space="preserve">Contingency</t>
  </si>
  <si>
    <t xml:space="preserve">Another Home — Key Assumptions (edit blue cells only)</t>
  </si>
  <si>
    <t xml:space="preserve">Blue = input · Yellow = key assumption to defend in the pitch · All money in USD</t>
  </si>
  <si>
    <t xml:space="preserve">General parameter</t>
  </si>
  <si>
    <t xml:space="preserve">Note / source</t>
  </si>
  <si>
    <t xml:space="preserve">Course sheet 'List of Groups', Team 7</t>
  </si>
  <si>
    <t xml:space="preserve">Development duration</t>
  </si>
  <si>
    <t xml:space="preserve">months</t>
  </si>
  <si>
    <t xml:space="preserve">See Roadmap</t>
  </si>
  <si>
    <t xml:space="preserve">Steam base price</t>
  </si>
  <si>
    <t xml:space="preserve">Cozy sandbox builders: Townscaper ≈ $6, Tiny Glade ≈ $15</t>
  </si>
  <si>
    <t xml:space="preserve">Average discount incl. sales &amp; regional pricing</t>
  </si>
  <si>
    <t xml:space="preserve">Assumption: indie games sell much of their volume on sale</t>
  </si>
  <si>
    <t xml:space="preserve">Refund rate</t>
  </si>
  <si>
    <t xml:space="preserve">Assumption: typical 3–8% for small indie titles</t>
  </si>
  <si>
    <t xml:space="preserve">Steam revenue share</t>
  </si>
  <si>
    <t xml:space="preserve">Steam standard 30% below $10M revenue</t>
  </si>
  <si>
    <t xml:space="preserve">itch.io revenue share</t>
  </si>
  <si>
    <t xml:space="preserve">itch.io default open revenue share 10%</t>
  </si>
  <si>
    <t xml:space="preserve">Furniture DLC pack price</t>
  </si>
  <si>
    <t xml:space="preserve">Assumption: cosmetic pack (e.g. 'Autumn Cabin', 'Tiny Café')</t>
  </si>
  <si>
    <t xml:space="preserve">Soundtrack price</t>
  </si>
  <si>
    <t xml:space="preserve">Assumption: typical indie OST price</t>
  </si>
  <si>
    <t xml:space="preserve">Soundtrack attach rate</t>
  </si>
  <si>
    <t xml:space="preserve">Assumption</t>
  </si>
  <si>
    <t xml:space="preserve">Live-ops: monthly furniture drops, per year</t>
  </si>
  <si>
    <t xml:space="preserve">USD/yr</t>
  </si>
  <si>
    <t xml:space="preserve">Keeps the original dev's 'new furniture every month' promise</t>
  </si>
  <si>
    <t xml:space="preserve">Ongoing marketing per year</t>
  </si>
  <si>
    <t xml:space="preserve">Creators, seasonal sales assets</t>
  </si>
  <si>
    <t xml:space="preserve">Tools, hosting &amp; Steam fees per year</t>
  </si>
  <si>
    <t xml:space="preserve">Steam networking for co-op is free; web hosting on itch.io</t>
  </si>
  <si>
    <t xml:space="preserve">Income tax rate</t>
  </si>
  <si>
    <t xml:space="preserve">Simplified assumption — check local SME rate</t>
  </si>
  <si>
    <t xml:space="preserve">Discount rate (NPV)</t>
  </si>
  <si>
    <t xml:space="preserve">Assumption for a small risky indie project</t>
  </si>
  <si>
    <t xml:space="preserve">Scenario parameter</t>
  </si>
  <si>
    <t xml:space="preserve">Steam wishlists at launch</t>
  </si>
  <si>
    <t xml:space="preserve">Browser version + Steam Next Fest + cozy creators; see Market sheet</t>
  </si>
  <si>
    <t xml:space="preserve">Year-1 units per launch wishlist</t>
  </si>
  <si>
    <t xml:space="preserve">x</t>
  </si>
  <si>
    <t xml:space="preserve">Rule of thumb: first-year sales ≈ 0.3–1.0× launch wishlists</t>
  </si>
  <si>
    <t xml:space="preserve">Year-2 units as % of Year 1</t>
  </si>
  <si>
    <t xml:space="preserve">Long tail: seasonal sales, updates, DLC launches</t>
  </si>
  <si>
    <t xml:space="preserve">Year-3 units as % of Year 2</t>
  </si>
  <si>
    <t xml:space="preserve">DLC packs bought per player (avg)</t>
  </si>
  <si>
    <t xml:space="preserve">packs</t>
  </si>
  <si>
    <t xml:space="preserve">Cosmetic furniture packs; 2 packs released by Year 2</t>
  </si>
  <si>
    <t xml:space="preserve">itch.io browser version: tips &amp; supporter pack per year</t>
  </si>
  <si>
    <t xml:space="preserve">Browser game stays free (name-your-price) as a funnel</t>
  </si>
  <si>
    <t xml:space="preserve">Development Cost — how the $75,000 budget is spent</t>
  </si>
  <si>
    <t xml:space="preserve">Personnel cost = Monthly rate × Months × FTE share. Remote freelance rates (assumption). Producer &amp; Director = the two students (unpaid).</t>
  </si>
  <si>
    <t xml:space="preserve">Category</t>
  </si>
  <si>
    <t xml:space="preserve">Item</t>
  </si>
  <si>
    <t xml:space="preserve">Monthly rate (USD)</t>
  </si>
  <si>
    <t xml:space="preserve">Months</t>
  </si>
  <si>
    <t xml:space="preserve">FTE share</t>
  </si>
  <si>
    <t xml:space="preserve">Cost (USD)</t>
  </si>
  <si>
    <t xml:space="preserve">Note</t>
  </si>
  <si>
    <t xml:space="preserve">Personnel</t>
  </si>
  <si>
    <t xml:space="preserve">Lead programmer (building tools, co-op, save system)</t>
  </si>
  <si>
    <t xml:space="preserve">Multi-room homes, resize/recolour, Steam co-op, Workshop</t>
  </si>
  <si>
    <t xml:space="preserve">Isometric 2D artist (furniture &amp; rooms)</t>
  </si>
  <si>
    <t xml:space="preserve">≈ 400 new pieces + UI art; keeps the original soft pastel style</t>
  </si>
  <si>
    <t xml:space="preserve">Game designer (content &amp; Cozy Requests)</t>
  </si>
  <si>
    <t xml:space="preserve">Room themes, optional requests, catalogue balance</t>
  </si>
  <si>
    <t xml:space="preserve">Sound designer / composer</t>
  </si>
  <si>
    <t xml:space="preserve">Satisfying placement sounds + ambient loops (players' favourite feature)</t>
  </si>
  <si>
    <t xml:space="preserve">QA &amp; playtesting</t>
  </si>
  <si>
    <t xml:space="preserve">Last 3 months incl. Steam Next Fest demo</t>
  </si>
  <si>
    <t xml:space="preserve">Personnel subtotal</t>
  </si>
  <si>
    <t xml:space="preserve">Tools &amp; legal</t>
  </si>
  <si>
    <t xml:space="preserve">Software &amp; asset licences</t>
  </si>
  <si>
    <t xml:space="preserve">Engine/tool licences, fonts, SFX libraries</t>
  </si>
  <si>
    <t xml:space="preserve">Steam Direct fee</t>
  </si>
  <si>
    <t xml:space="preserve">Official one-off fee per game (recoupable)</t>
  </si>
  <si>
    <t xml:space="preserve">Legal &amp; company setup</t>
  </si>
  <si>
    <t xml:space="preserve">Publishing agreement with original developer, EULA</t>
  </si>
  <si>
    <t xml:space="preserve">Localization (EN + 5 languages)</t>
  </si>
  <si>
    <t xml:space="preserve">ZH, JA, KO, RU, ES — cozy games sell strongly in Asia</t>
  </si>
  <si>
    <t xml:space="preserve">Marketing &amp; launch</t>
  </si>
  <si>
    <t xml:space="preserve">Cozy creator / streamer campaign</t>
  </si>
  <si>
    <t xml:space="preserve">Many small cozy &amp; decorating creators (TikTok, YouTube, Twitch)</t>
  </si>
  <si>
    <t xml:space="preserve">Trailer &amp; Steam page assets</t>
  </si>
  <si>
    <t xml:space="preserve">Announcement + launch trailer, capsule art, GIFs</t>
  </si>
  <si>
    <t xml:space="preserve">Festivals &amp; showcases</t>
  </si>
  <si>
    <t xml:space="preserve">Submissions: Wholesome Direct, Cozy Games showcases; Steam Next Fest is free</t>
  </si>
  <si>
    <t xml:space="preserve">Paid social (TikTok / Reels)</t>
  </si>
  <si>
    <t xml:space="preserve">'Room makeover' timelapses</t>
  </si>
  <si>
    <t xml:space="preserve">Tools, legal &amp; marketing subtotal</t>
  </si>
  <si>
    <t xml:space="preserve">Contingency rate</t>
  </si>
  <si>
    <t xml:space="preserve">Reserve for delays / scope changes (standard 10%)</t>
  </si>
  <si>
    <t xml:space="preserve">Contingency reserve</t>
  </si>
  <si>
    <t xml:space="preserve">TOTAL DEVELOPMENT &amp; LAUNCH COST</t>
  </si>
  <si>
    <t xml:space="preserve">Budget (from Assumptions)</t>
  </si>
  <si>
    <t xml:space="preserve">Remaining budget (must be ≥ 0)</t>
  </si>
  <si>
    <t xml:space="preserve">Revenue Forecast — Price / Gross Revenue (3 years after Steam launch)</t>
  </si>
  <si>
    <t xml:space="preserve">Premium Steam release ($9.99) + cosmetic furniture DLC + soundtrack + free browser version on itch.io (tips).</t>
  </si>
  <si>
    <t xml:space="preserve">LOW SCENARIO</t>
  </si>
  <si>
    <t xml:space="preserve">Year 1</t>
  </si>
  <si>
    <t xml:space="preserve">Year 2</t>
  </si>
  <si>
    <t xml:space="preserve">Year 3</t>
  </si>
  <si>
    <t xml:space="preserve">3-yr total</t>
  </si>
  <si>
    <t xml:space="preserve">Steam units sold</t>
  </si>
  <si>
    <t xml:space="preserve">Realized price per copy (after discounts &amp; refunds)</t>
  </si>
  <si>
    <t xml:space="preserve">Game sales, gross</t>
  </si>
  <si>
    <t xml:space="preserve">Furniture DLC packs, gross</t>
  </si>
  <si>
    <t xml:space="preserve">Soundtrack, gross</t>
  </si>
  <si>
    <t xml:space="preserve">itch.io browser version (tips, supporter pack)</t>
  </si>
  <si>
    <t xml:space="preserve">GROSS REVENUE</t>
  </si>
  <si>
    <t xml:space="preserve">– Steam revenue share</t>
  </si>
  <si>
    <t xml:space="preserve">– itch.io revenue share</t>
  </si>
  <si>
    <t xml:space="preserve">NET REVENUE (to the team)</t>
  </si>
  <si>
    <t xml:space="preserve">BASE SCENARIO</t>
  </si>
  <si>
    <t xml:space="preserve">HIGH SCENARIO</t>
  </si>
  <si>
    <t xml:space="preserve">Profit &amp; Loss, Cash Flow and Break-even</t>
  </si>
  <si>
    <t xml:space="preserve">Year 0 = development (budget spent). Years 1–3 = after Steam launch.</t>
  </si>
  <si>
    <t xml:space="preserve">Year 0 (dev)</t>
  </si>
  <si>
    <t xml:space="preserve">Total</t>
  </si>
  <si>
    <t xml:space="preserve">Net revenue</t>
  </si>
  <si>
    <t xml:space="preserve">Development &amp; launch cost</t>
  </si>
  <si>
    <t xml:space="preserve">Live-ops: monthly furniture drops</t>
  </si>
  <si>
    <t xml:space="preserve">Ongoing marketing</t>
  </si>
  <si>
    <t xml:space="preserve">Tools, hosting &amp; fees</t>
  </si>
  <si>
    <t xml:space="preserve">TOTAL COSTS</t>
  </si>
  <si>
    <t xml:space="preserve">Profit before tax</t>
  </si>
  <si>
    <t xml:space="preserve">Income tax</t>
  </si>
  <si>
    <t xml:space="preserve">NET PROFIT / CASH FLOW</t>
  </si>
  <si>
    <t xml:space="preserve">Cumulative cash</t>
  </si>
  <si>
    <t xml:space="preserve">Break-even year</t>
  </si>
  <si>
    <t xml:space="preserve">ROI after 3 years (cumulative cash ÷ dev cost)</t>
  </si>
  <si>
    <t xml:space="preserve">NPV of 3 years (at discount rate)</t>
  </si>
  <si>
    <t xml:space="preserve">Market Estimation — TAM / SAM / SOM</t>
  </si>
  <si>
    <t xml:space="preserve">Approximate public figures — verify and add the source link before submitting.</t>
  </si>
  <si>
    <t xml:space="preserve">Steam market (players)</t>
  </si>
  <si>
    <t xml:space="preserve">Steam monthly active users</t>
  </si>
  <si>
    <t xml:space="preserve">Valve reported 132M MAU (2021); verify latest figure</t>
  </si>
  <si>
    <t xml:space="preserve">Share who buy cozy / sandbox / building games</t>
  </si>
  <si>
    <t xml:space="preserve">Assumption — 'Cozy' and 'Building' are large Steam tags</t>
  </si>
  <si>
    <t xml:space="preserve">TAM — cozy &amp; sandbox buyers</t>
  </si>
  <si>
    <t xml:space="preserve">Formula: MAU × share</t>
  </si>
  <si>
    <t xml:space="preserve">Share interested in home / room decorating at &lt; $15</t>
  </si>
  <si>
    <t xml:space="preserve">SAM — decorating-game buyers</t>
  </si>
  <si>
    <t xml:space="preserve">Formula: TAM × share</t>
  </si>
  <si>
    <t xml:space="preserve">Share we can win in Year 1 with a $75k budget</t>
  </si>
  <si>
    <t xml:space="preserve">Assumption — calibrated to Base scenario</t>
  </si>
  <si>
    <t xml:space="preserve">SOM — Year-1 copies</t>
  </si>
  <si>
    <t xml:space="preserve">Formula: SAM × share; compare with Revenue → Base units Y1</t>
  </si>
  <si>
    <t xml:space="preserve">Base-scenario Steam units in Year 1 (from Revenue)</t>
  </si>
  <si>
    <t xml:space="preserve">Demand signals (comparable games)</t>
  </si>
  <si>
    <t xml:space="preserve">Tiny Glade — copies sold in first month</t>
  </si>
  <si>
    <t xml:space="preserve">GameDiscoverCo newsletter, Oct 2024 — cozy builder, $15</t>
  </si>
  <si>
    <t xml:space="preserve">Townscaper — estimated copies sold</t>
  </si>
  <si>
    <t xml:space="preserve">Estimate 610k–1.1M, price under $6 — verify on Gamalytic/SteamDB</t>
  </si>
  <si>
    <t xml:space="preserve">diorama (Steam version by the original dev) — user reviews</t>
  </si>
  <si>
    <t xml:space="preserve">95% positive (Very Positive) — proves demand for this exact game</t>
  </si>
  <si>
    <t xml:space="preserve">Another Home (itch.io) — player comments</t>
  </si>
  <si>
    <t xml:space="preserve">≈ 180 comments on the itch.io page, monthly furniture updates</t>
  </si>
  <si>
    <t xml:space="preserve">Roadmap — 10 months development + first year after launch</t>
  </si>
  <si>
    <t xml:space="preserve">Change Start month / Duration (blue); the timeline fills automatically.</t>
  </si>
  <si>
    <t xml:space="preserve">Phase</t>
  </si>
  <si>
    <t xml:space="preserve">Key deliverable / milestone</t>
  </si>
  <si>
    <t xml:space="preserve">Start month</t>
  </si>
  <si>
    <t xml:space="preserve">Duration (months)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</si>
  <si>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</si>
  <si>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</si>
  <si>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</si>
  <si>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</si>
  <si>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</si>
  <si>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</si>
  <si>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</si>
  <si>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</si>
  <si>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</si>
  <si>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</si>
  <si>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</si>
  <si>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</si>
  <si>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</si>
  <si>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</si>
  <si>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</si>
  <si>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</si>
  <si>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</si>
  <si>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</si>
  <si>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Pre-production</t>
  </si>
  <si>
    <t xml:space="preserve">Macro GDD, tech plan, deal with original developer</t>
  </si>
  <si>
    <t xml:space="preserve">Core rebuild</t>
  </si>
  <si>
    <t xml:space="preserve">Multi-room homes, resize/recolour, save system</t>
  </si>
  <si>
    <t xml:space="preserve">Content production</t>
  </si>
  <si>
    <t xml:space="preserve">≈ 400 new furniture pieces, 6 room themes, sounds</t>
  </si>
  <si>
    <t xml:space="preserve">Steam page live</t>
  </si>
  <si>
    <t xml:space="preserve">Wishlist campaign starts (target 5k by M6)</t>
  </si>
  <si>
    <t xml:space="preserve">Co-op &amp; Cozy Requests</t>
  </si>
  <si>
    <t xml:space="preserve">Online co-op decorating, optional requests</t>
  </si>
  <si>
    <t xml:space="preserve">Demo + Steam Next Fest</t>
  </si>
  <si>
    <t xml:space="preserve">Free demo, creator keys</t>
  </si>
  <si>
    <t xml:space="preserve">Polish &amp; localization</t>
  </si>
  <si>
    <t xml:space="preserve">5 languages, bug fixing, Steam Deck check</t>
  </si>
  <si>
    <t xml:space="preserve">LAUNCH</t>
  </si>
  <si>
    <t xml:space="preserve">Steam release + browser version update on itch.io</t>
  </si>
  <si>
    <t xml:space="preserve">Monthly furniture drops</t>
  </si>
  <si>
    <t xml:space="preserve">Free updates keep the community active</t>
  </si>
  <si>
    <t xml:space="preserve">DLC pack #1 / #2</t>
  </si>
  <si>
    <t xml:space="preserve">Cosmetic furniture packs ($2.99)</t>
  </si>
  <si>
    <t xml:space="preserve">Comparable cozy decorating / sandbox games</t>
  </si>
  <si>
    <t xml:space="preserve">Yellow cells: fill in from each store page before the pitch.</t>
  </si>
  <si>
    <t xml:space="preserve">Game</t>
  </si>
  <si>
    <t xml:space="preserve">Developer</t>
  </si>
  <si>
    <t xml:space="preserve">Link</t>
  </si>
  <si>
    <t xml:space="preserve">Platform</t>
  </si>
  <si>
    <t xml:space="preserve">Price</t>
  </si>
  <si>
    <t xml:space="preserve">Reviews / rating (fill)</t>
  </si>
  <si>
    <t xml:space="preserve">What it does</t>
  </si>
  <si>
    <t xml:space="preserve">Lesson for Another Home</t>
  </si>
  <si>
    <t xml:space="preserve">Another Home (our base game)</t>
  </si>
  <si>
    <t xml:space="preserve">lane (emiwa)</t>
  </si>
  <si>
    <t xml:space="preserve">https://emiwa.itch.io/home</t>
  </si>
  <si>
    <t xml:space="preserve">Browser (itch.io)</t>
  </si>
  <si>
    <t xml:space="preserve">Free</t>
  </si>
  <si>
    <t xml:space="preserve">Isometric room decorating sandbox, no goals, monthly furniture updates</t>
  </si>
  <si>
    <t xml:space="preserve">Proven cozy loop and loyal community — our starting point</t>
  </si>
  <si>
    <t xml:space="preserve">diorama</t>
  </si>
  <si>
    <t xml:space="preserve">lane (original dev)</t>
  </si>
  <si>
    <t xml:space="preserve">https://store.steampowered.com/app/2887460/diorama/</t>
  </si>
  <si>
    <t xml:space="preserve">Steam (PC)</t>
  </si>
  <si>
    <t xml:space="preserve">Check page</t>
  </si>
  <si>
    <t xml:space="preserve">Steam version: ≈ 1000 pieces, resize, weather &amp; time, online &amp; LAN co-op; 95% of 83 reviews positive</t>
  </si>
  <si>
    <t xml:space="preserve">Validates demand; our plan must add clear value on top</t>
  </si>
  <si>
    <t xml:space="preserve">Tiny Glade</t>
  </si>
  <si>
    <t xml:space="preserve">Pounce Light</t>
  </si>
  <si>
    <t xml:space="preserve">https://store.steampowered.com/app/2198150/Tiny_Glade/</t>
  </si>
  <si>
    <t xml:space="preserve">$15</t>
  </si>
  <si>
    <t xml:space="preserve">Goal-less diorama castle builder; 616k copies in first month</t>
  </si>
  <si>
    <t xml:space="preserve">'No goals' sandbox can sell huge with a strong visual hook</t>
  </si>
  <si>
    <t xml:space="preserve">Townscaper</t>
  </si>
  <si>
    <t xml:space="preserve">Oskar Stålberg</t>
  </si>
  <si>
    <t xml:space="preserve">https://store.steampowered.com/app/1291340/Townscaper/</t>
  </si>
  <si>
    <t xml:space="preserve">PC, Switch, mobile</t>
  </si>
  <si>
    <t xml:space="preserve">≈ $6</t>
  </si>
  <si>
    <t xml:space="preserve">Toy-like town builder, no goals</t>
  </si>
  <si>
    <t xml:space="preserve">Cheap price + shareable screenshots = long tail</t>
  </si>
  <si>
    <t xml:space="preserve">Unpacking</t>
  </si>
  <si>
    <t xml:space="preserve">Witch Beam</t>
  </si>
  <si>
    <t xml:space="preserve">https://store.steampowered.com/app/1135690/Unpacking/</t>
  </si>
  <si>
    <t xml:space="preserve">PC, consoles</t>
  </si>
  <si>
    <t xml:space="preserve">≈ $20</t>
  </si>
  <si>
    <t xml:space="preserve">Zen puzzle of unpacking belongings into rooms</t>
  </si>
  <si>
    <t xml:space="preserve">Room + object story works; light goals help retention</t>
  </si>
  <si>
    <t xml:space="preserve">How to use this model</t>
  </si>
  <si>
    <t xml:space="preserve">1. Change inputs only on 'Assumptions' and 'Development Cost' (blue text). Everything else recalculates.</t>
  </si>
  <si>
    <t xml:space="preserve">2. Yellow cells are key assumptions — be ready to explain them in the pitch.</t>
  </si>
  <si>
    <t xml:space="preserve">3. 'Summary' holds the numbers for the Pitchdeck: Price / Gross Revenue, Market Estimation, Targets, Development Cost.</t>
  </si>
  <si>
    <t xml:space="preserve">4. 'Market Estimation' and 'Comparable Games' use approximate public figures — verify and add sources.</t>
  </si>
  <si>
    <t xml:space="preserve">Colour code: blue = input · black = formula · green = link to another sheet · yellow fill = key assumption</t>
  </si>
  <si>
    <t xml:space="preserve">Example input: Assumptions → 'Steam wishlists at launch' Low 8,000 / Base 25,000 / High 60,000.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</si>
</sst>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&quot;($&quot;#,##0.00\);\-"/>
    <numFmt numFmtId="166" formatCode="\$#,##0;&quot;($&quot;#,##0\);\-"/>
    <numFmt numFmtId="167" formatCode="#,##0;\(#,##0\);\-"/>
    <numFmt numFmtId="168" formatCode="0.0%;\(0.0%\);\-"/>
    <numFmt numFmtId="169" formatCode="0.00\x"/>
    <numFmt numFmtId="170" formatCode="0.00"/>
    <numFmt numFmtId="171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5B3A29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5B3A29"/>
        <bgColor rgb="FF333300"/>
      </patternFill>
    </fill>
    <fill>
      <patternFill patternType="solid">
        <fgColor rgb="FFF3E3D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5B3A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emiwa.itch.io/home" TargetMode="External"/><Relationship Id="rId2" Type="http://schemas.openxmlformats.org/officeDocument/2006/relationships/hyperlink" Target="https://store.steampowered.com/app/2887460/diorama/" TargetMode="External"/><Relationship Id="rId3" Type="http://schemas.openxmlformats.org/officeDocument/2006/relationships/hyperlink" Target="https://store.steampowered.com/app/2198150/Tiny_Glade/" TargetMode="External"/><Relationship Id="rId4" Type="http://schemas.openxmlformats.org/officeDocument/2006/relationships/hyperlink" Target="https://store.steampowered.com/app/1291340/Townscaper/" TargetMode="External"/><Relationship Id="rId5" Type="http://schemas.openxmlformats.org/officeDocument/2006/relationships/hyperlink" Target="https://store.steampowered.com/app/1135690/Unpacking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" t="s">
        <v>2</v>
      </c>
      <c r="B4" s="4" t="s">
        <v>3</v>
      </c>
      <c r="C4" s="4"/>
      <c r="D4" s="4"/>
      <c r="E4" s="4"/>
    </row>
    <row r="5" customFormat="false" ht="15" hidden="false" customHeight="false" outlineLevel="0" collapsed="false">
      <c r="A5" s="2" t="s">
        <v>4</v>
      </c>
      <c r="B5" s="5" t="n">
        <f aca="false">Assumptions!$D$7</f>
        <v>9.99</v>
      </c>
      <c r="C5" s="2"/>
      <c r="D5" s="2"/>
      <c r="E5" s="2"/>
    </row>
    <row r="6" customFormat="false" ht="15" hidden="false" customHeight="false" outlineLevel="0" collapsed="false">
      <c r="A6" s="2" t="s">
        <v>5</v>
      </c>
      <c r="B6" s="5" t="n">
        <f aca="false">Assumptions!$D$12</f>
        <v>2.99</v>
      </c>
      <c r="C6" s="2"/>
      <c r="D6" s="2"/>
      <c r="E6" s="2"/>
    </row>
    <row r="7" customFormat="false" ht="15" hidden="false" customHeight="false" outlineLevel="0" collapsed="false">
      <c r="A7" s="2" t="s">
        <v>6</v>
      </c>
      <c r="B7" s="5" t="n">
        <f aca="false">Assumptions!$D$13</f>
        <v>4.99</v>
      </c>
      <c r="C7" s="2"/>
      <c r="D7" s="2"/>
      <c r="E7" s="2"/>
    </row>
    <row r="8" customFormat="false" ht="15" hidden="false" customHeight="false" outlineLevel="0" collapsed="false">
      <c r="A8" s="2" t="s">
        <v>7</v>
      </c>
      <c r="B8" s="2" t="s">
        <v>8</v>
      </c>
      <c r="C8" s="2"/>
      <c r="D8" s="2"/>
      <c r="E8" s="2"/>
    </row>
    <row r="9" customFormat="false" ht="15" hidden="false" customHeight="false" outlineLevel="0" collapsed="false">
      <c r="A9" s="2" t="s">
        <v>9</v>
      </c>
      <c r="B9" s="6" t="n">
        <f aca="false">Assumptions!$D$5</f>
        <v>75000</v>
      </c>
      <c r="C9" s="2"/>
      <c r="D9" s="2"/>
      <c r="E9" s="2"/>
    </row>
    <row r="10" customFormat="false" ht="15" hidden="false" customHeight="false" outlineLevel="0" collapsed="false">
      <c r="A10" s="2" t="s">
        <v>10</v>
      </c>
      <c r="B10" s="6" t="n">
        <f aca="false">'Development Cost'!$F$25</f>
        <v>74580</v>
      </c>
      <c r="C10" s="2"/>
      <c r="D10" s="2"/>
      <c r="E10" s="2"/>
    </row>
    <row r="11" customFormat="false" ht="15" hidden="false" customHeight="false" outlineLevel="0" collapsed="false">
      <c r="A11" s="2"/>
      <c r="B11" s="2"/>
      <c r="C11" s="2"/>
      <c r="D11" s="2"/>
      <c r="E11" s="2"/>
    </row>
    <row r="12" customFormat="false" ht="15" hidden="false" customHeight="false" outlineLevel="0" collapsed="false">
      <c r="A12" s="4" t="s">
        <v>11</v>
      </c>
      <c r="B12" s="4" t="s">
        <v>12</v>
      </c>
      <c r="C12" s="4" t="s">
        <v>13</v>
      </c>
      <c r="D12" s="4" t="s">
        <v>14</v>
      </c>
      <c r="E12" s="4" t="s">
        <v>15</v>
      </c>
    </row>
    <row r="13" customFormat="false" ht="15" hidden="false" customHeight="false" outlineLevel="0" collapsed="false">
      <c r="A13" s="2" t="s">
        <v>16</v>
      </c>
      <c r="B13" s="7" t="n">
        <f aca="false">Assumptions!$C$22</f>
        <v>8000</v>
      </c>
      <c r="C13" s="7" t="n">
        <f aca="false">Assumptions!$D$22</f>
        <v>25000</v>
      </c>
      <c r="D13" s="7" t="n">
        <f aca="false">Assumptions!$E$22</f>
        <v>60000</v>
      </c>
      <c r="E13" s="3" t="s">
        <v>17</v>
      </c>
    </row>
    <row r="14" customFormat="false" ht="15" hidden="false" customHeight="false" outlineLevel="0" collapsed="false">
      <c r="A14" s="2" t="s">
        <v>18</v>
      </c>
      <c r="B14" s="7" t="n">
        <f aca="false">Revenue!C5</f>
        <v>3200</v>
      </c>
      <c r="C14" s="7" t="n">
        <f aca="false">Revenue!C17</f>
        <v>15000</v>
      </c>
      <c r="D14" s="7" t="n">
        <f aca="false">Revenue!C29</f>
        <v>54000</v>
      </c>
      <c r="E14" s="3" t="s">
        <v>19</v>
      </c>
    </row>
    <row r="15" customFormat="false" ht="15" hidden="false" customHeight="false" outlineLevel="0" collapsed="false">
      <c r="A15" s="2" t="s">
        <v>20</v>
      </c>
      <c r="B15" s="7" t="n">
        <f aca="false">Revenue!F5</f>
        <v>4880</v>
      </c>
      <c r="C15" s="7" t="n">
        <f aca="false">Revenue!F17</f>
        <v>27000</v>
      </c>
      <c r="D15" s="7" t="n">
        <f aca="false">Revenue!F29</f>
        <v>109080</v>
      </c>
      <c r="E15" s="3" t="s">
        <v>19</v>
      </c>
    </row>
    <row r="16" customFormat="false" ht="15" hidden="false" customHeight="false" outlineLevel="0" collapsed="false">
      <c r="A16" s="2" t="s">
        <v>21</v>
      </c>
      <c r="B16" s="8" t="n">
        <f aca="false">Revenue!C11</f>
        <v>23694.56</v>
      </c>
      <c r="C16" s="8" t="n">
        <f aca="false">Revenue!C23</f>
        <v>113365.75</v>
      </c>
      <c r="D16" s="8" t="n">
        <f aca="false">Revenue!C35</f>
        <v>420262.7</v>
      </c>
      <c r="E16" s="3" t="s">
        <v>22</v>
      </c>
    </row>
    <row r="17" customFormat="false" ht="15" hidden="false" customHeight="false" outlineLevel="0" collapsed="false">
      <c r="A17" s="2" t="s">
        <v>23</v>
      </c>
      <c r="B17" s="8" t="n">
        <f aca="false">Revenue!D11</f>
        <v>8943.096</v>
      </c>
      <c r="C17" s="8" t="n">
        <f aca="false">Revenue!D23</f>
        <v>57932.875</v>
      </c>
      <c r="D17" s="8" t="n">
        <f aca="false">Revenue!D35</f>
        <v>254157.62</v>
      </c>
      <c r="E17" s="3" t="s">
        <v>22</v>
      </c>
    </row>
    <row r="18" customFormat="false" ht="15" hidden="false" customHeight="false" outlineLevel="0" collapsed="false">
      <c r="A18" s="2" t="s">
        <v>24</v>
      </c>
      <c r="B18" s="8" t="n">
        <f aca="false">Revenue!E11</f>
        <v>4971.548</v>
      </c>
      <c r="C18" s="8" t="n">
        <f aca="false">Revenue!E23</f>
        <v>35759.725</v>
      </c>
      <c r="D18" s="8" t="n">
        <f aca="false">Revenue!E35</f>
        <v>179410.334</v>
      </c>
      <c r="E18" s="3" t="s">
        <v>22</v>
      </c>
    </row>
    <row r="19" customFormat="false" ht="15" hidden="false" customHeight="false" outlineLevel="0" collapsed="false">
      <c r="A19" s="9" t="s">
        <v>25</v>
      </c>
      <c r="B19" s="10" t="n">
        <f aca="false">Revenue!F11</f>
        <v>37609.204</v>
      </c>
      <c r="C19" s="10" t="n">
        <f aca="false">Revenue!F23</f>
        <v>207058.35</v>
      </c>
      <c r="D19" s="10" t="n">
        <f aca="false">Revenue!F35</f>
        <v>853830.654</v>
      </c>
      <c r="E19" s="11" t="s">
        <v>22</v>
      </c>
    </row>
    <row r="20" customFormat="false" ht="15" hidden="false" customHeight="false" outlineLevel="0" collapsed="false">
      <c r="A20" s="9" t="s">
        <v>26</v>
      </c>
      <c r="B20" s="10" t="n">
        <f aca="false">Revenue!F14</f>
        <v>26926.4428</v>
      </c>
      <c r="C20" s="10" t="n">
        <f aca="false">Revenue!F26</f>
        <v>146440.845</v>
      </c>
      <c r="D20" s="10" t="n">
        <f aca="false">Revenue!F38</f>
        <v>600681.4578</v>
      </c>
      <c r="E20" s="11" t="s">
        <v>22</v>
      </c>
    </row>
    <row r="21" customFormat="false" ht="15" hidden="false" customHeight="false" outlineLevel="0" collapsed="false">
      <c r="A21" s="2" t="s">
        <v>27</v>
      </c>
      <c r="B21" s="8" t="n">
        <f aca="false">'P&amp;L &amp; Break-even'!F13</f>
        <v>-96892.1764</v>
      </c>
      <c r="C21" s="8" t="n">
        <f aca="false">'P&amp;L &amp; Break-even'!F28</f>
        <v>12936.7605</v>
      </c>
      <c r="D21" s="8" t="n">
        <f aca="false">'P&amp;L &amp; Break-even'!F43</f>
        <v>421753.31202</v>
      </c>
      <c r="E21" s="3" t="s">
        <v>22</v>
      </c>
    </row>
    <row r="22" customFormat="false" ht="15" hidden="false" customHeight="false" outlineLevel="0" collapsed="false">
      <c r="A22" s="2" t="s">
        <v>28</v>
      </c>
      <c r="B22" s="12" t="n">
        <f aca="false">'P&amp;L &amp; Break-even'!B16</f>
        <v>-1.29917104317511</v>
      </c>
      <c r="C22" s="12" t="n">
        <f aca="false">'P&amp;L &amp; Break-even'!B31</f>
        <v>0.173461524537409</v>
      </c>
      <c r="D22" s="12" t="n">
        <f aca="false">'P&amp;L &amp; Break-even'!B46</f>
        <v>5.65504574979887</v>
      </c>
      <c r="E22" s="3" t="s">
        <v>29</v>
      </c>
    </row>
    <row r="23" customFormat="false" ht="15" hidden="false" customHeight="false" outlineLevel="0" collapsed="false">
      <c r="A23" s="2" t="s">
        <v>30</v>
      </c>
      <c r="B23" s="8" t="n">
        <f aca="false">'P&amp;L &amp; Break-even'!B17</f>
        <v>-91247.4262422558</v>
      </c>
      <c r="C23" s="8" t="n">
        <f aca="false">'P&amp;L &amp; Break-even'!B32</f>
        <v>-50.7875891149015</v>
      </c>
      <c r="D23" s="8" t="n">
        <f aca="false">'P&amp;L &amp; Break-even'!B47</f>
        <v>336625.974645249</v>
      </c>
      <c r="E23" s="3" t="s">
        <v>22</v>
      </c>
    </row>
    <row r="24" customFormat="false" ht="15" hidden="false" customHeight="false" outlineLevel="0" collapsed="false">
      <c r="A24" s="9" t="s">
        <v>31</v>
      </c>
      <c r="B24" s="13" t="str">
        <f aca="false">'P&amp;L &amp; Break-even'!B15</f>
        <v>After Year 3</v>
      </c>
      <c r="C24" s="13" t="str">
        <f aca="false">'P&amp;L &amp; Break-even'!B30</f>
        <v>Year 2</v>
      </c>
      <c r="D24" s="13" t="str">
        <f aca="false">'P&amp;L &amp; Break-even'!B45</f>
        <v>Year 1</v>
      </c>
      <c r="E24" s="11"/>
    </row>
    <row r="25" customFormat="false" ht="15" hidden="false" customHeight="false" outlineLevel="0" collapsed="false">
      <c r="A25" s="2"/>
      <c r="B25" s="2"/>
      <c r="C25" s="2"/>
      <c r="D25" s="2"/>
      <c r="E25" s="2"/>
    </row>
    <row r="26" customFormat="false" ht="15" hidden="false" customHeight="false" outlineLevel="0" collapsed="false">
      <c r="A26" s="4" t="s">
        <v>32</v>
      </c>
      <c r="B26" s="4" t="s">
        <v>22</v>
      </c>
      <c r="C26" s="4" t="s">
        <v>33</v>
      </c>
      <c r="D26" s="4"/>
      <c r="E26" s="4"/>
    </row>
    <row r="27" customFormat="false" ht="15" hidden="false" customHeight="false" outlineLevel="0" collapsed="false">
      <c r="A27" s="2" t="s">
        <v>34</v>
      </c>
      <c r="B27" s="6" t="n">
        <f aca="false">Revenue!F19</f>
        <v>179370.45</v>
      </c>
      <c r="C27" s="14" t="n">
        <f aca="false">IF($B$31=0,0,B27/$B$31)</f>
        <v>0.866279722599934</v>
      </c>
      <c r="D27" s="2"/>
      <c r="E27" s="2"/>
    </row>
    <row r="28" customFormat="false" ht="15" hidden="false" customHeight="false" outlineLevel="0" collapsed="false">
      <c r="A28" s="2" t="s">
        <v>35</v>
      </c>
      <c r="B28" s="6" t="n">
        <f aca="false">Revenue!F20</f>
        <v>16146</v>
      </c>
      <c r="C28" s="14" t="n">
        <f aca="false">IF($B$31=0,0,B28/$B$31)</f>
        <v>0.0779780192395043</v>
      </c>
      <c r="D28" s="2"/>
      <c r="E28" s="2"/>
    </row>
    <row r="29" customFormat="false" ht="15" hidden="false" customHeight="false" outlineLevel="0" collapsed="false">
      <c r="A29" s="2" t="s">
        <v>36</v>
      </c>
      <c r="B29" s="6" t="n">
        <f aca="false">Revenue!F21</f>
        <v>4041.9</v>
      </c>
      <c r="C29" s="14" t="n">
        <f aca="false">IF($B$31=0,0,B29/$B$31)</f>
        <v>0.0195205844149729</v>
      </c>
      <c r="D29" s="2"/>
      <c r="E29" s="2"/>
    </row>
    <row r="30" customFormat="false" ht="15" hidden="false" customHeight="false" outlineLevel="0" collapsed="false">
      <c r="A30" s="2" t="s">
        <v>37</v>
      </c>
      <c r="B30" s="6" t="n">
        <f aca="false">Revenue!F22</f>
        <v>7500</v>
      </c>
      <c r="C30" s="14" t="n">
        <f aca="false">IF($B$31=0,0,B30/$B$31)</f>
        <v>0.0362216737455891</v>
      </c>
      <c r="D30" s="2"/>
      <c r="E30" s="2"/>
    </row>
    <row r="31" customFormat="false" ht="15" hidden="false" customHeight="false" outlineLevel="0" collapsed="false">
      <c r="A31" s="15" t="s">
        <v>38</v>
      </c>
      <c r="B31" s="16" t="n">
        <f aca="false">SUM(B27:B30)</f>
        <v>207058.35</v>
      </c>
      <c r="C31" s="14" t="n">
        <f aca="false">IF($B$31=0,0,B31/$B$31)</f>
        <v>1</v>
      </c>
      <c r="D31" s="2"/>
      <c r="E31" s="2"/>
    </row>
    <row r="32" customFormat="false" ht="15" hidden="false" customHeight="false" outlineLevel="0" collapsed="false">
      <c r="A32" s="2"/>
      <c r="B32" s="2"/>
      <c r="C32" s="2"/>
      <c r="D32" s="2"/>
      <c r="E32" s="2"/>
    </row>
    <row r="33" customFormat="false" ht="15" hidden="false" customHeight="false" outlineLevel="0" collapsed="false">
      <c r="A33" s="4" t="s">
        <v>39</v>
      </c>
      <c r="B33" s="4" t="s">
        <v>22</v>
      </c>
      <c r="C33" s="4" t="s">
        <v>40</v>
      </c>
      <c r="D33" s="4"/>
      <c r="E33" s="4"/>
    </row>
    <row r="34" customFormat="false" ht="15" hidden="false" customHeight="false" outlineLevel="0" collapsed="false">
      <c r="A34" s="2" t="s">
        <v>41</v>
      </c>
      <c r="B34" s="6" t="n">
        <f aca="false">'Development Cost'!F10</f>
        <v>53800</v>
      </c>
      <c r="C34" s="17" t="n">
        <f aca="false">'Development Cost'!G10</f>
        <v>0.717333333333333</v>
      </c>
      <c r="D34" s="2"/>
      <c r="E34" s="2"/>
    </row>
    <row r="35" customFormat="false" ht="15" hidden="false" customHeight="false" outlineLevel="0" collapsed="false">
      <c r="A35" s="2" t="s">
        <v>42</v>
      </c>
      <c r="B35" s="6" t="n">
        <f aca="false">'Development Cost'!F20</f>
        <v>14000</v>
      </c>
      <c r="C35" s="17" t="n">
        <f aca="false">'Development Cost'!G20</f>
        <v>0.186666666666667</v>
      </c>
      <c r="D35" s="2"/>
      <c r="E35" s="2"/>
    </row>
    <row r="36" customFormat="false" ht="15" hidden="false" customHeight="false" outlineLevel="0" collapsed="false">
      <c r="A36" s="2" t="s">
        <v>43</v>
      </c>
      <c r="B36" s="6" t="n">
        <f aca="false">'Development Cost'!F23</f>
        <v>6780</v>
      </c>
      <c r="C36" s="17" t="n">
        <f aca="false">'Development Cost'!G23</f>
        <v>0.0904</v>
      </c>
      <c r="D36" s="2"/>
      <c r="E3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1"/>
    <col collapsed="false" customWidth="true" hidden="false" outlineLevel="0" max="5" min="3" style="0" width="12"/>
    <col collapsed="false" customWidth="true" hidden="false" outlineLevel="0" max="6" min="6" style="0" width="78"/>
  </cols>
  <sheetData>
    <row r="1" customFormat="false" ht="17.35" hidden="false" customHeight="false" outlineLevel="0" collapsed="false">
      <c r="A1" s="1" t="s">
        <v>44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45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46</v>
      </c>
      <c r="B4" s="4" t="s">
        <v>15</v>
      </c>
      <c r="C4" s="4"/>
      <c r="D4" s="4" t="s">
        <v>3</v>
      </c>
      <c r="E4" s="4"/>
      <c r="F4" s="4" t="s">
        <v>47</v>
      </c>
    </row>
    <row r="5" customFormat="false" ht="15" hidden="false" customHeight="false" outlineLevel="0" collapsed="false">
      <c r="A5" s="2" t="s">
        <v>9</v>
      </c>
      <c r="B5" s="2" t="s">
        <v>22</v>
      </c>
      <c r="C5" s="2"/>
      <c r="D5" s="18" t="n">
        <v>75000</v>
      </c>
      <c r="E5" s="2"/>
      <c r="F5" s="3" t="s">
        <v>48</v>
      </c>
    </row>
    <row r="6" customFormat="false" ht="15" hidden="false" customHeight="false" outlineLevel="0" collapsed="false">
      <c r="A6" s="2" t="s">
        <v>49</v>
      </c>
      <c r="B6" s="2" t="s">
        <v>50</v>
      </c>
      <c r="C6" s="2"/>
      <c r="D6" s="19" t="n">
        <v>10</v>
      </c>
      <c r="E6" s="2"/>
      <c r="F6" s="3" t="s">
        <v>51</v>
      </c>
    </row>
    <row r="7" customFormat="false" ht="15" hidden="false" customHeight="false" outlineLevel="0" collapsed="false">
      <c r="A7" s="2" t="s">
        <v>52</v>
      </c>
      <c r="B7" s="2" t="s">
        <v>22</v>
      </c>
      <c r="C7" s="2"/>
      <c r="D7" s="20" t="n">
        <v>9.99</v>
      </c>
      <c r="E7" s="2"/>
      <c r="F7" s="3" t="s">
        <v>53</v>
      </c>
    </row>
    <row r="8" customFormat="false" ht="15" hidden="false" customHeight="false" outlineLevel="0" collapsed="false">
      <c r="A8" s="2" t="s">
        <v>54</v>
      </c>
      <c r="B8" s="2" t="s">
        <v>29</v>
      </c>
      <c r="C8" s="2"/>
      <c r="D8" s="21" t="n">
        <v>0.3</v>
      </c>
      <c r="E8" s="2"/>
      <c r="F8" s="3" t="s">
        <v>55</v>
      </c>
    </row>
    <row r="9" customFormat="false" ht="15" hidden="false" customHeight="false" outlineLevel="0" collapsed="false">
      <c r="A9" s="2" t="s">
        <v>56</v>
      </c>
      <c r="B9" s="2" t="s">
        <v>29</v>
      </c>
      <c r="C9" s="2"/>
      <c r="D9" s="21" t="n">
        <v>0.05</v>
      </c>
      <c r="E9" s="2"/>
      <c r="F9" s="3" t="s">
        <v>57</v>
      </c>
    </row>
    <row r="10" customFormat="false" ht="15" hidden="false" customHeight="false" outlineLevel="0" collapsed="false">
      <c r="A10" s="2" t="s">
        <v>58</v>
      </c>
      <c r="B10" s="2" t="s">
        <v>29</v>
      </c>
      <c r="C10" s="2"/>
      <c r="D10" s="21" t="n">
        <v>0.3</v>
      </c>
      <c r="E10" s="2"/>
      <c r="F10" s="3" t="s">
        <v>59</v>
      </c>
    </row>
    <row r="11" customFormat="false" ht="15" hidden="false" customHeight="false" outlineLevel="0" collapsed="false">
      <c r="A11" s="2" t="s">
        <v>60</v>
      </c>
      <c r="B11" s="2" t="s">
        <v>29</v>
      </c>
      <c r="C11" s="2"/>
      <c r="D11" s="21" t="n">
        <v>0.1</v>
      </c>
      <c r="E11" s="2"/>
      <c r="F11" s="3" t="s">
        <v>61</v>
      </c>
    </row>
    <row r="12" customFormat="false" ht="15" hidden="false" customHeight="false" outlineLevel="0" collapsed="false">
      <c r="A12" s="2" t="s">
        <v>62</v>
      </c>
      <c r="B12" s="2" t="s">
        <v>22</v>
      </c>
      <c r="C12" s="2"/>
      <c r="D12" s="22" t="n">
        <v>2.99</v>
      </c>
      <c r="E12" s="2"/>
      <c r="F12" s="3" t="s">
        <v>63</v>
      </c>
    </row>
    <row r="13" customFormat="false" ht="15" hidden="false" customHeight="false" outlineLevel="0" collapsed="false">
      <c r="A13" s="2" t="s">
        <v>64</v>
      </c>
      <c r="B13" s="2" t="s">
        <v>22</v>
      </c>
      <c r="C13" s="2"/>
      <c r="D13" s="22" t="n">
        <v>4.99</v>
      </c>
      <c r="E13" s="2"/>
      <c r="F13" s="3" t="s">
        <v>65</v>
      </c>
    </row>
    <row r="14" customFormat="false" ht="15" hidden="false" customHeight="false" outlineLevel="0" collapsed="false">
      <c r="A14" s="2" t="s">
        <v>66</v>
      </c>
      <c r="B14" s="2" t="s">
        <v>29</v>
      </c>
      <c r="C14" s="2"/>
      <c r="D14" s="21" t="n">
        <v>0.03</v>
      </c>
      <c r="E14" s="2"/>
      <c r="F14" s="3" t="s">
        <v>67</v>
      </c>
    </row>
    <row r="15" customFormat="false" ht="15" hidden="false" customHeight="false" outlineLevel="0" collapsed="false">
      <c r="A15" s="2" t="s">
        <v>68</v>
      </c>
      <c r="B15" s="2" t="s">
        <v>69</v>
      </c>
      <c r="C15" s="2"/>
      <c r="D15" s="23" t="n">
        <v>12000</v>
      </c>
      <c r="E15" s="2"/>
      <c r="F15" s="3" t="s">
        <v>70</v>
      </c>
    </row>
    <row r="16" customFormat="false" ht="15" hidden="false" customHeight="false" outlineLevel="0" collapsed="false">
      <c r="A16" s="2" t="s">
        <v>71</v>
      </c>
      <c r="B16" s="2" t="s">
        <v>69</v>
      </c>
      <c r="C16" s="2"/>
      <c r="D16" s="23" t="n">
        <v>4000</v>
      </c>
      <c r="E16" s="2"/>
      <c r="F16" s="3" t="s">
        <v>72</v>
      </c>
    </row>
    <row r="17" customFormat="false" ht="15" hidden="false" customHeight="false" outlineLevel="0" collapsed="false">
      <c r="A17" s="2" t="s">
        <v>73</v>
      </c>
      <c r="B17" s="2" t="s">
        <v>69</v>
      </c>
      <c r="C17" s="2"/>
      <c r="D17" s="23" t="n">
        <v>400</v>
      </c>
      <c r="E17" s="2"/>
      <c r="F17" s="3" t="s">
        <v>74</v>
      </c>
    </row>
    <row r="18" customFormat="false" ht="15" hidden="false" customHeight="false" outlineLevel="0" collapsed="false">
      <c r="A18" s="2" t="s">
        <v>75</v>
      </c>
      <c r="B18" s="2" t="s">
        <v>29</v>
      </c>
      <c r="C18" s="2"/>
      <c r="D18" s="21" t="n">
        <v>0.1</v>
      </c>
      <c r="E18" s="2"/>
      <c r="F18" s="3" t="s">
        <v>76</v>
      </c>
    </row>
    <row r="19" customFormat="false" ht="15" hidden="false" customHeight="false" outlineLevel="0" collapsed="false">
      <c r="A19" s="2" t="s">
        <v>77</v>
      </c>
      <c r="B19" s="2" t="s">
        <v>29</v>
      </c>
      <c r="C19" s="2"/>
      <c r="D19" s="21" t="n">
        <v>0.12</v>
      </c>
      <c r="E19" s="2"/>
      <c r="F19" s="3" t="s">
        <v>78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</row>
    <row r="21" customFormat="false" ht="15" hidden="false" customHeight="false" outlineLevel="0" collapsed="false">
      <c r="A21" s="4" t="s">
        <v>79</v>
      </c>
      <c r="B21" s="4" t="s">
        <v>15</v>
      </c>
      <c r="C21" s="4" t="s">
        <v>12</v>
      </c>
      <c r="D21" s="4" t="s">
        <v>13</v>
      </c>
      <c r="E21" s="4" t="s">
        <v>14</v>
      </c>
      <c r="F21" s="4" t="s">
        <v>47</v>
      </c>
    </row>
    <row r="22" customFormat="false" ht="15" hidden="false" customHeight="false" outlineLevel="0" collapsed="false">
      <c r="A22" s="2" t="s">
        <v>80</v>
      </c>
      <c r="B22" s="2" t="s">
        <v>17</v>
      </c>
      <c r="C22" s="24" t="n">
        <v>8000</v>
      </c>
      <c r="D22" s="24" t="n">
        <v>25000</v>
      </c>
      <c r="E22" s="24" t="n">
        <v>60000</v>
      </c>
      <c r="F22" s="3" t="s">
        <v>81</v>
      </c>
    </row>
    <row r="23" customFormat="false" ht="15" hidden="false" customHeight="false" outlineLevel="0" collapsed="false">
      <c r="A23" s="2" t="s">
        <v>82</v>
      </c>
      <c r="B23" s="2" t="s">
        <v>83</v>
      </c>
      <c r="C23" s="25" t="n">
        <v>0.4</v>
      </c>
      <c r="D23" s="25" t="n">
        <v>0.6</v>
      </c>
      <c r="E23" s="25" t="n">
        <v>0.9</v>
      </c>
      <c r="F23" s="3" t="s">
        <v>84</v>
      </c>
    </row>
    <row r="24" customFormat="false" ht="15" hidden="false" customHeight="false" outlineLevel="0" collapsed="false">
      <c r="A24" s="2" t="s">
        <v>85</v>
      </c>
      <c r="B24" s="2" t="s">
        <v>29</v>
      </c>
      <c r="C24" s="21" t="n">
        <v>0.35</v>
      </c>
      <c r="D24" s="21" t="n">
        <v>0.5</v>
      </c>
      <c r="E24" s="21" t="n">
        <v>0.6</v>
      </c>
      <c r="F24" s="3" t="s">
        <v>86</v>
      </c>
    </row>
    <row r="25" customFormat="false" ht="15" hidden="false" customHeight="false" outlineLevel="0" collapsed="false">
      <c r="A25" s="2" t="s">
        <v>87</v>
      </c>
      <c r="B25" s="2" t="s">
        <v>29</v>
      </c>
      <c r="C25" s="21" t="n">
        <v>0.5</v>
      </c>
      <c r="D25" s="21" t="n">
        <v>0.6</v>
      </c>
      <c r="E25" s="21" t="n">
        <v>0.7</v>
      </c>
      <c r="F25" s="3"/>
    </row>
    <row r="26" customFormat="false" ht="15" hidden="false" customHeight="false" outlineLevel="0" collapsed="false">
      <c r="A26" s="2" t="s">
        <v>88</v>
      </c>
      <c r="B26" s="2" t="s">
        <v>89</v>
      </c>
      <c r="C26" s="26" t="n">
        <v>0.1</v>
      </c>
      <c r="D26" s="26" t="n">
        <v>0.2</v>
      </c>
      <c r="E26" s="26" t="n">
        <v>0.3</v>
      </c>
      <c r="F26" s="3" t="s">
        <v>90</v>
      </c>
    </row>
    <row r="27" customFormat="false" ht="15" hidden="false" customHeight="false" outlineLevel="0" collapsed="false">
      <c r="A27" s="2" t="s">
        <v>91</v>
      </c>
      <c r="B27" s="2" t="s">
        <v>69</v>
      </c>
      <c r="C27" s="23" t="n">
        <v>1000</v>
      </c>
      <c r="D27" s="23" t="n">
        <v>2500</v>
      </c>
      <c r="E27" s="23" t="n">
        <v>5000</v>
      </c>
      <c r="F27" s="3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93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94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4" t="s">
        <v>95</v>
      </c>
      <c r="B4" s="4" t="s">
        <v>96</v>
      </c>
      <c r="C4" s="4" t="s">
        <v>97</v>
      </c>
      <c r="D4" s="4" t="s">
        <v>98</v>
      </c>
      <c r="E4" s="4" t="s">
        <v>99</v>
      </c>
      <c r="F4" s="4" t="s">
        <v>100</v>
      </c>
      <c r="G4" s="4" t="s">
        <v>40</v>
      </c>
      <c r="H4" s="4" t="s">
        <v>101</v>
      </c>
    </row>
    <row r="5" customFormat="false" ht="15" hidden="false" customHeight="false" outlineLevel="0" collapsed="false">
      <c r="A5" s="2" t="s">
        <v>102</v>
      </c>
      <c r="B5" s="2" t="s">
        <v>103</v>
      </c>
      <c r="C5" s="23" t="n">
        <v>2400</v>
      </c>
      <c r="D5" s="19" t="n">
        <v>9</v>
      </c>
      <c r="E5" s="27" t="n">
        <v>1</v>
      </c>
      <c r="F5" s="28" t="n">
        <f aca="false">C5*D5*E5</f>
        <v>21600</v>
      </c>
      <c r="G5" s="14" t="n">
        <f aca="false">IF($F$26=0,0,F5/$F$26)</f>
        <v>0.288</v>
      </c>
      <c r="H5" s="3" t="s">
        <v>104</v>
      </c>
    </row>
    <row r="6" customFormat="false" ht="15" hidden="false" customHeight="false" outlineLevel="0" collapsed="false">
      <c r="A6" s="2" t="s">
        <v>102</v>
      </c>
      <c r="B6" s="2" t="s">
        <v>105</v>
      </c>
      <c r="C6" s="23" t="n">
        <v>2000</v>
      </c>
      <c r="D6" s="19" t="n">
        <v>8</v>
      </c>
      <c r="E6" s="27" t="n">
        <v>1</v>
      </c>
      <c r="F6" s="28" t="n">
        <f aca="false">C6*D6*E6</f>
        <v>16000</v>
      </c>
      <c r="G6" s="14" t="n">
        <f aca="false">IF($F$26=0,0,F6/$F$26)</f>
        <v>0.213333333333333</v>
      </c>
      <c r="H6" s="3" t="s">
        <v>106</v>
      </c>
    </row>
    <row r="7" customFormat="false" ht="15" hidden="false" customHeight="false" outlineLevel="0" collapsed="false">
      <c r="A7" s="2" t="s">
        <v>102</v>
      </c>
      <c r="B7" s="2" t="s">
        <v>107</v>
      </c>
      <c r="C7" s="23" t="n">
        <v>1800</v>
      </c>
      <c r="D7" s="19" t="n">
        <v>6</v>
      </c>
      <c r="E7" s="27" t="n">
        <v>1</v>
      </c>
      <c r="F7" s="28" t="n">
        <f aca="false">C7*D7*E7</f>
        <v>10800</v>
      </c>
      <c r="G7" s="14" t="n">
        <f aca="false">IF($F$26=0,0,F7/$F$26)</f>
        <v>0.144</v>
      </c>
      <c r="H7" s="3" t="s">
        <v>108</v>
      </c>
    </row>
    <row r="8" customFormat="false" ht="15" hidden="false" customHeight="false" outlineLevel="0" collapsed="false">
      <c r="A8" s="2" t="s">
        <v>102</v>
      </c>
      <c r="B8" s="2" t="s">
        <v>109</v>
      </c>
      <c r="C8" s="23" t="n">
        <v>1500</v>
      </c>
      <c r="D8" s="19" t="n">
        <v>2</v>
      </c>
      <c r="E8" s="27" t="n">
        <v>1</v>
      </c>
      <c r="F8" s="28" t="n">
        <f aca="false">C8*D8*E8</f>
        <v>3000</v>
      </c>
      <c r="G8" s="14" t="n">
        <f aca="false">IF($F$26=0,0,F8/$F$26)</f>
        <v>0.04</v>
      </c>
      <c r="H8" s="3" t="s">
        <v>110</v>
      </c>
    </row>
    <row r="9" customFormat="false" ht="15" hidden="false" customHeight="false" outlineLevel="0" collapsed="false">
      <c r="A9" s="2" t="s">
        <v>102</v>
      </c>
      <c r="B9" s="2" t="s">
        <v>111</v>
      </c>
      <c r="C9" s="23" t="n">
        <v>800</v>
      </c>
      <c r="D9" s="19" t="n">
        <v>3</v>
      </c>
      <c r="E9" s="27" t="n">
        <v>1</v>
      </c>
      <c r="F9" s="28" t="n">
        <f aca="false">C9*D9*E9</f>
        <v>2400</v>
      </c>
      <c r="G9" s="14" t="n">
        <f aca="false">IF($F$26=0,0,F9/$F$26)</f>
        <v>0.032</v>
      </c>
      <c r="H9" s="3" t="s">
        <v>112</v>
      </c>
    </row>
    <row r="10" customFormat="false" ht="15" hidden="false" customHeight="false" outlineLevel="0" collapsed="false">
      <c r="A10" s="29"/>
      <c r="B10" s="30" t="s">
        <v>113</v>
      </c>
      <c r="C10" s="29"/>
      <c r="D10" s="29"/>
      <c r="E10" s="29"/>
      <c r="F10" s="31" t="n">
        <f aca="false">SUM(F5:F9)</f>
        <v>53800</v>
      </c>
      <c r="G10" s="32" t="n">
        <f aca="false">IF($F$26=0,0,F10/$F$26)</f>
        <v>0.717333333333333</v>
      </c>
      <c r="H10" s="29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2" t="s">
        <v>114</v>
      </c>
      <c r="B12" s="2" t="s">
        <v>115</v>
      </c>
      <c r="C12" s="2"/>
      <c r="D12" s="2"/>
      <c r="E12" s="2"/>
      <c r="F12" s="23" t="n">
        <v>600</v>
      </c>
      <c r="G12" s="14" t="n">
        <f aca="false">IF($F$26=0,0,F12/$F$26)</f>
        <v>0.008</v>
      </c>
      <c r="H12" s="3" t="s">
        <v>116</v>
      </c>
    </row>
    <row r="13" customFormat="false" ht="15" hidden="false" customHeight="false" outlineLevel="0" collapsed="false">
      <c r="A13" s="2" t="s">
        <v>114</v>
      </c>
      <c r="B13" s="2" t="s">
        <v>117</v>
      </c>
      <c r="C13" s="2"/>
      <c r="D13" s="2"/>
      <c r="E13" s="2"/>
      <c r="F13" s="23" t="n">
        <v>100</v>
      </c>
      <c r="G13" s="14" t="n">
        <f aca="false">IF($F$26=0,0,F13/$F$26)</f>
        <v>0.00133333333333333</v>
      </c>
      <c r="H13" s="3" t="s">
        <v>118</v>
      </c>
    </row>
    <row r="14" customFormat="false" ht="15" hidden="false" customHeight="false" outlineLevel="0" collapsed="false">
      <c r="A14" s="2" t="s">
        <v>114</v>
      </c>
      <c r="B14" s="2" t="s">
        <v>119</v>
      </c>
      <c r="C14" s="2"/>
      <c r="D14" s="2"/>
      <c r="E14" s="2"/>
      <c r="F14" s="23" t="n">
        <v>800</v>
      </c>
      <c r="G14" s="14" t="n">
        <f aca="false">IF($F$26=0,0,F14/$F$26)</f>
        <v>0.0106666666666667</v>
      </c>
      <c r="H14" s="3" t="s">
        <v>120</v>
      </c>
    </row>
    <row r="15" customFormat="false" ht="15" hidden="false" customHeight="false" outlineLevel="0" collapsed="false">
      <c r="A15" s="2" t="s">
        <v>114</v>
      </c>
      <c r="B15" s="2" t="s">
        <v>121</v>
      </c>
      <c r="C15" s="2"/>
      <c r="D15" s="2"/>
      <c r="E15" s="2"/>
      <c r="F15" s="23" t="n">
        <v>2500</v>
      </c>
      <c r="G15" s="14" t="n">
        <f aca="false">IF($F$26=0,0,F15/$F$26)</f>
        <v>0.0333333333333333</v>
      </c>
      <c r="H15" s="3" t="s">
        <v>122</v>
      </c>
    </row>
    <row r="16" customFormat="false" ht="15" hidden="false" customHeight="false" outlineLevel="0" collapsed="false">
      <c r="A16" s="2" t="s">
        <v>123</v>
      </c>
      <c r="B16" s="2" t="s">
        <v>124</v>
      </c>
      <c r="C16" s="2"/>
      <c r="D16" s="2"/>
      <c r="E16" s="2"/>
      <c r="F16" s="23" t="n">
        <v>5000</v>
      </c>
      <c r="G16" s="14" t="n">
        <f aca="false">IF($F$26=0,0,F16/$F$26)</f>
        <v>0.0666666666666667</v>
      </c>
      <c r="H16" s="3" t="s">
        <v>125</v>
      </c>
    </row>
    <row r="17" customFormat="false" ht="15" hidden="false" customHeight="false" outlineLevel="0" collapsed="false">
      <c r="A17" s="2" t="s">
        <v>123</v>
      </c>
      <c r="B17" s="2" t="s">
        <v>126</v>
      </c>
      <c r="C17" s="2"/>
      <c r="D17" s="2"/>
      <c r="E17" s="2"/>
      <c r="F17" s="23" t="n">
        <v>1500</v>
      </c>
      <c r="G17" s="14" t="n">
        <f aca="false">IF($F$26=0,0,F17/$F$26)</f>
        <v>0.02</v>
      </c>
      <c r="H17" s="3" t="s">
        <v>127</v>
      </c>
    </row>
    <row r="18" customFormat="false" ht="15" hidden="false" customHeight="false" outlineLevel="0" collapsed="false">
      <c r="A18" s="2" t="s">
        <v>123</v>
      </c>
      <c r="B18" s="2" t="s">
        <v>128</v>
      </c>
      <c r="C18" s="2"/>
      <c r="D18" s="2"/>
      <c r="E18" s="2"/>
      <c r="F18" s="23" t="n">
        <v>1500</v>
      </c>
      <c r="G18" s="14" t="n">
        <f aca="false">IF($F$26=0,0,F18/$F$26)</f>
        <v>0.02</v>
      </c>
      <c r="H18" s="3" t="s">
        <v>129</v>
      </c>
    </row>
    <row r="19" customFormat="false" ht="15" hidden="false" customHeight="false" outlineLevel="0" collapsed="false">
      <c r="A19" s="2" t="s">
        <v>123</v>
      </c>
      <c r="B19" s="2" t="s">
        <v>130</v>
      </c>
      <c r="C19" s="2"/>
      <c r="D19" s="2"/>
      <c r="E19" s="2"/>
      <c r="F19" s="23" t="n">
        <v>2000</v>
      </c>
      <c r="G19" s="14" t="n">
        <f aca="false">IF($F$26=0,0,F19/$F$26)</f>
        <v>0.0266666666666667</v>
      </c>
      <c r="H19" s="3" t="s">
        <v>131</v>
      </c>
    </row>
    <row r="20" customFormat="false" ht="15" hidden="false" customHeight="false" outlineLevel="0" collapsed="false">
      <c r="A20" s="29"/>
      <c r="B20" s="30" t="s">
        <v>132</v>
      </c>
      <c r="C20" s="29"/>
      <c r="D20" s="29"/>
      <c r="E20" s="29"/>
      <c r="F20" s="31" t="n">
        <f aca="false">SUM(F12:F19)</f>
        <v>14000</v>
      </c>
      <c r="G20" s="32" t="n">
        <f aca="false">IF($F$26=0,0,F20/$F$26)</f>
        <v>0.186666666666667</v>
      </c>
      <c r="H20" s="29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</row>
    <row r="22" customFormat="false" ht="15" hidden="false" customHeight="false" outlineLevel="0" collapsed="false">
      <c r="A22" s="2"/>
      <c r="B22" s="2" t="s">
        <v>133</v>
      </c>
      <c r="C22" s="2"/>
      <c r="D22" s="2"/>
      <c r="E22" s="33" t="n">
        <v>0.1</v>
      </c>
      <c r="F22" s="2"/>
      <c r="G22" s="2"/>
      <c r="H22" s="3" t="s">
        <v>134</v>
      </c>
    </row>
    <row r="23" customFormat="false" ht="15" hidden="false" customHeight="false" outlineLevel="0" collapsed="false">
      <c r="A23" s="2" t="s">
        <v>43</v>
      </c>
      <c r="B23" s="2" t="s">
        <v>135</v>
      </c>
      <c r="C23" s="2"/>
      <c r="D23" s="2"/>
      <c r="E23" s="2"/>
      <c r="F23" s="28" t="n">
        <f aca="false">(F10+F20)*E22</f>
        <v>6780</v>
      </c>
      <c r="G23" s="14" t="n">
        <f aca="false">IF($F$26=0,0,F23/$F$26)</f>
        <v>0.0904</v>
      </c>
      <c r="H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</row>
    <row r="25" customFormat="false" ht="15" hidden="false" customHeight="false" outlineLevel="0" collapsed="false">
      <c r="A25" s="34"/>
      <c r="B25" s="34" t="s">
        <v>136</v>
      </c>
      <c r="C25" s="34"/>
      <c r="D25" s="34"/>
      <c r="E25" s="34"/>
      <c r="F25" s="35" t="n">
        <f aca="false">F10+F20+F23</f>
        <v>74580</v>
      </c>
      <c r="G25" s="36" t="n">
        <f aca="false">IF($F$26=0,0,F25/$F$26)</f>
        <v>0.9944</v>
      </c>
      <c r="H25" s="34"/>
    </row>
    <row r="26" customFormat="false" ht="15" hidden="false" customHeight="false" outlineLevel="0" collapsed="false">
      <c r="A26" s="2"/>
      <c r="B26" s="2" t="s">
        <v>137</v>
      </c>
      <c r="C26" s="2"/>
      <c r="D26" s="2"/>
      <c r="E26" s="2"/>
      <c r="F26" s="6" t="n">
        <f aca="false">Assumptions!$D$5</f>
        <v>75000</v>
      </c>
      <c r="G26" s="2"/>
      <c r="H26" s="2"/>
    </row>
    <row r="27" customFormat="false" ht="15" hidden="false" customHeight="false" outlineLevel="0" collapsed="false">
      <c r="A27" s="2"/>
      <c r="B27" s="15" t="s">
        <v>138</v>
      </c>
      <c r="C27" s="2"/>
      <c r="D27" s="2"/>
      <c r="E27" s="2"/>
      <c r="F27" s="28" t="n">
        <f aca="false">F26-F25</f>
        <v>420</v>
      </c>
      <c r="G27" s="15" t="str">
        <f aca="false">IF(F27&gt;=0,"OK — within budget","OVER BUDGET")</f>
        <v>OK — within budget</v>
      </c>
      <c r="H2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0"/>
    <col collapsed="false" customWidth="true" hidden="false" outlineLevel="0" max="6" min="3" style="0" width="14"/>
  </cols>
  <sheetData>
    <row r="1" customFormat="false" ht="17.35" hidden="false" customHeight="false" outlineLevel="0" collapsed="false">
      <c r="A1" s="1" t="s">
        <v>139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140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141</v>
      </c>
      <c r="B4" s="4" t="s">
        <v>15</v>
      </c>
      <c r="C4" s="4" t="s">
        <v>142</v>
      </c>
      <c r="D4" s="4" t="s">
        <v>143</v>
      </c>
      <c r="E4" s="4" t="s">
        <v>144</v>
      </c>
      <c r="F4" s="4" t="s">
        <v>145</v>
      </c>
    </row>
    <row r="5" customFormat="false" ht="15" hidden="false" customHeight="false" outlineLevel="0" collapsed="false">
      <c r="A5" s="2" t="s">
        <v>146</v>
      </c>
      <c r="B5" s="2" t="s">
        <v>19</v>
      </c>
      <c r="C5" s="37" t="n">
        <f aca="false">Assumptions!$C$22*Assumptions!$C$23</f>
        <v>3200</v>
      </c>
      <c r="D5" s="37" t="n">
        <f aca="false">C5*Assumptions!$C$24</f>
        <v>1120</v>
      </c>
      <c r="E5" s="37" t="n">
        <f aca="false">D5*Assumptions!$C$25</f>
        <v>560</v>
      </c>
      <c r="F5" s="37" t="n">
        <f aca="false">SUM(C5:E5)</f>
        <v>4880</v>
      </c>
    </row>
    <row r="6" customFormat="false" ht="15" hidden="false" customHeight="false" outlineLevel="0" collapsed="false">
      <c r="A6" s="2" t="s">
        <v>147</v>
      </c>
      <c r="B6" s="2" t="s">
        <v>22</v>
      </c>
      <c r="C6" s="38" t="n">
        <f aca="false">Assumptions!$D$7*(1-Assumptions!$D$8)*(1-Assumptions!$D$9)</f>
        <v>6.64335</v>
      </c>
      <c r="D6" s="38" t="n">
        <f aca="false">Assumptions!$D$7*(1-Assumptions!$D$8)*(1-Assumptions!$D$9)</f>
        <v>6.64335</v>
      </c>
      <c r="E6" s="38" t="n">
        <f aca="false">Assumptions!$D$7*(1-Assumptions!$D$8)*(1-Assumptions!$D$9)</f>
        <v>6.64335</v>
      </c>
      <c r="F6" s="2"/>
    </row>
    <row r="7" customFormat="false" ht="15" hidden="false" customHeight="false" outlineLevel="0" collapsed="false">
      <c r="A7" s="2" t="s">
        <v>148</v>
      </c>
      <c r="B7" s="2" t="s">
        <v>22</v>
      </c>
      <c r="C7" s="28" t="n">
        <f aca="false">C5*C6</f>
        <v>21258.72</v>
      </c>
      <c r="D7" s="28" t="n">
        <f aca="false">D5*D6</f>
        <v>7440.552</v>
      </c>
      <c r="E7" s="28" t="n">
        <f aca="false">E5*E6</f>
        <v>3720.276</v>
      </c>
      <c r="F7" s="28" t="n">
        <f aca="false">SUM(C7:E7)</f>
        <v>32419.548</v>
      </c>
    </row>
    <row r="8" customFormat="false" ht="15" hidden="false" customHeight="false" outlineLevel="0" collapsed="false">
      <c r="A8" s="2" t="s">
        <v>149</v>
      </c>
      <c r="B8" s="2" t="s">
        <v>22</v>
      </c>
      <c r="C8" s="28" t="n">
        <f aca="false">C5*Assumptions!$C$26*Assumptions!$D$12</f>
        <v>956.8</v>
      </c>
      <c r="D8" s="28" t="n">
        <f aca="false">D5*Assumptions!$C$26*Assumptions!$D$12</f>
        <v>334.88</v>
      </c>
      <c r="E8" s="28" t="n">
        <f aca="false">E5*Assumptions!$C$26*Assumptions!$D$12</f>
        <v>167.44</v>
      </c>
      <c r="F8" s="28" t="n">
        <f aca="false">SUM(C8:E8)</f>
        <v>1459.12</v>
      </c>
    </row>
    <row r="9" customFormat="false" ht="15" hidden="false" customHeight="false" outlineLevel="0" collapsed="false">
      <c r="A9" s="2" t="s">
        <v>150</v>
      </c>
      <c r="B9" s="2" t="s">
        <v>22</v>
      </c>
      <c r="C9" s="28" t="n">
        <f aca="false">C5*Assumptions!$D$14*Assumptions!$D$13</f>
        <v>479.04</v>
      </c>
      <c r="D9" s="28" t="n">
        <f aca="false">D5*Assumptions!$D$14*Assumptions!$D$13</f>
        <v>167.664</v>
      </c>
      <c r="E9" s="28" t="n">
        <f aca="false">E5*Assumptions!$D$14*Assumptions!$D$13</f>
        <v>83.832</v>
      </c>
      <c r="F9" s="28" t="n">
        <f aca="false">SUM(C9:E9)</f>
        <v>730.536</v>
      </c>
    </row>
    <row r="10" customFormat="false" ht="15" hidden="false" customHeight="false" outlineLevel="0" collapsed="false">
      <c r="A10" s="2" t="s">
        <v>151</v>
      </c>
      <c r="B10" s="2" t="s">
        <v>22</v>
      </c>
      <c r="C10" s="28" t="n">
        <f aca="false">Assumptions!$C$27</f>
        <v>1000</v>
      </c>
      <c r="D10" s="28" t="n">
        <f aca="false">Assumptions!$C$27</f>
        <v>1000</v>
      </c>
      <c r="E10" s="28" t="n">
        <f aca="false">Assumptions!$C$27</f>
        <v>1000</v>
      </c>
      <c r="F10" s="28" t="n">
        <f aca="false">SUM(C10:E10)</f>
        <v>3000</v>
      </c>
    </row>
    <row r="11" customFormat="false" ht="15" hidden="false" customHeight="false" outlineLevel="0" collapsed="false">
      <c r="A11" s="39" t="s">
        <v>152</v>
      </c>
      <c r="B11" s="39" t="s">
        <v>22</v>
      </c>
      <c r="C11" s="40" t="n">
        <f aca="false">SUM(C7:C10)</f>
        <v>23694.56</v>
      </c>
      <c r="D11" s="40" t="n">
        <f aca="false">SUM(D7:D10)</f>
        <v>8943.096</v>
      </c>
      <c r="E11" s="40" t="n">
        <f aca="false">SUM(E7:E10)</f>
        <v>4971.548</v>
      </c>
      <c r="F11" s="40" t="n">
        <f aca="false">SUM(C11:E11)</f>
        <v>37609.204</v>
      </c>
    </row>
    <row r="12" customFormat="false" ht="15" hidden="false" customHeight="false" outlineLevel="0" collapsed="false">
      <c r="A12" s="2" t="s">
        <v>153</v>
      </c>
      <c r="B12" s="2" t="s">
        <v>22</v>
      </c>
      <c r="C12" s="28" t="n">
        <f aca="false">-(C7+C8+C9)*Assumptions!$D$10</f>
        <v>-6808.368</v>
      </c>
      <c r="D12" s="28" t="n">
        <f aca="false">-(D7+D8+D9)*Assumptions!$D$10</f>
        <v>-2382.9288</v>
      </c>
      <c r="E12" s="28" t="n">
        <f aca="false">-(E7+E8+E9)*Assumptions!$D$10</f>
        <v>-1191.4644</v>
      </c>
      <c r="F12" s="28" t="n">
        <f aca="false">SUM(C12:E12)</f>
        <v>-10382.7612</v>
      </c>
    </row>
    <row r="13" customFormat="false" ht="15" hidden="false" customHeight="false" outlineLevel="0" collapsed="false">
      <c r="A13" s="2" t="s">
        <v>154</v>
      </c>
      <c r="B13" s="2" t="s">
        <v>22</v>
      </c>
      <c r="C13" s="28" t="n">
        <f aca="false">-C10*Assumptions!$D$11</f>
        <v>-100</v>
      </c>
      <c r="D13" s="28" t="n">
        <f aca="false">-D10*Assumptions!$D$11</f>
        <v>-100</v>
      </c>
      <c r="E13" s="28" t="n">
        <f aca="false">-E10*Assumptions!$D$11</f>
        <v>-100</v>
      </c>
      <c r="F13" s="28" t="n">
        <f aca="false">SUM(C13:E13)</f>
        <v>-300</v>
      </c>
    </row>
    <row r="14" customFormat="false" ht="15" hidden="false" customHeight="false" outlineLevel="0" collapsed="false">
      <c r="A14" s="30" t="s">
        <v>155</v>
      </c>
      <c r="B14" s="30" t="s">
        <v>22</v>
      </c>
      <c r="C14" s="31" t="n">
        <f aca="false">C11+C12+C13</f>
        <v>16786.192</v>
      </c>
      <c r="D14" s="31" t="n">
        <f aca="false">D11+D12+D13</f>
        <v>6460.1672</v>
      </c>
      <c r="E14" s="31" t="n">
        <f aca="false">E11+E12+E13</f>
        <v>3680.0836</v>
      </c>
      <c r="F14" s="31" t="n">
        <f aca="false">SUM(C14:E14)</f>
        <v>26926.4428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</row>
    <row r="16" customFormat="false" ht="15" hidden="false" customHeight="false" outlineLevel="0" collapsed="false">
      <c r="A16" s="4" t="s">
        <v>156</v>
      </c>
      <c r="B16" s="4" t="s">
        <v>15</v>
      </c>
      <c r="C16" s="4" t="s">
        <v>142</v>
      </c>
      <c r="D16" s="4" t="s">
        <v>143</v>
      </c>
      <c r="E16" s="4" t="s">
        <v>144</v>
      </c>
      <c r="F16" s="4" t="s">
        <v>145</v>
      </c>
    </row>
    <row r="17" customFormat="false" ht="15" hidden="false" customHeight="false" outlineLevel="0" collapsed="false">
      <c r="A17" s="2" t="s">
        <v>146</v>
      </c>
      <c r="B17" s="2" t="s">
        <v>19</v>
      </c>
      <c r="C17" s="37" t="n">
        <f aca="false">Assumptions!$D$22*Assumptions!$D$23</f>
        <v>15000</v>
      </c>
      <c r="D17" s="37" t="n">
        <f aca="false">C17*Assumptions!$D$24</f>
        <v>7500</v>
      </c>
      <c r="E17" s="37" t="n">
        <f aca="false">D17*Assumptions!$D$25</f>
        <v>4500</v>
      </c>
      <c r="F17" s="37" t="n">
        <f aca="false">SUM(C17:E17)</f>
        <v>27000</v>
      </c>
    </row>
    <row r="18" customFormat="false" ht="15" hidden="false" customHeight="false" outlineLevel="0" collapsed="false">
      <c r="A18" s="2" t="s">
        <v>147</v>
      </c>
      <c r="B18" s="2" t="s">
        <v>22</v>
      </c>
      <c r="C18" s="38" t="n">
        <f aca="false">Assumptions!$D$7*(1-Assumptions!$D$8)*(1-Assumptions!$D$9)</f>
        <v>6.64335</v>
      </c>
      <c r="D18" s="38" t="n">
        <f aca="false">Assumptions!$D$7*(1-Assumptions!$D$8)*(1-Assumptions!$D$9)</f>
        <v>6.64335</v>
      </c>
      <c r="E18" s="38" t="n">
        <f aca="false">Assumptions!$D$7*(1-Assumptions!$D$8)*(1-Assumptions!$D$9)</f>
        <v>6.64335</v>
      </c>
      <c r="F18" s="2"/>
    </row>
    <row r="19" customFormat="false" ht="15" hidden="false" customHeight="false" outlineLevel="0" collapsed="false">
      <c r="A19" s="2" t="s">
        <v>148</v>
      </c>
      <c r="B19" s="2" t="s">
        <v>22</v>
      </c>
      <c r="C19" s="28" t="n">
        <f aca="false">C17*C18</f>
        <v>99650.25</v>
      </c>
      <c r="D19" s="28" t="n">
        <f aca="false">D17*D18</f>
        <v>49825.125</v>
      </c>
      <c r="E19" s="28" t="n">
        <f aca="false">E17*E18</f>
        <v>29895.075</v>
      </c>
      <c r="F19" s="28" t="n">
        <f aca="false">SUM(C19:E19)</f>
        <v>179370.45</v>
      </c>
    </row>
    <row r="20" customFormat="false" ht="15" hidden="false" customHeight="false" outlineLevel="0" collapsed="false">
      <c r="A20" s="2" t="s">
        <v>149</v>
      </c>
      <c r="B20" s="2" t="s">
        <v>22</v>
      </c>
      <c r="C20" s="28" t="n">
        <f aca="false">C17*Assumptions!$D$26*Assumptions!$D$12</f>
        <v>8970</v>
      </c>
      <c r="D20" s="28" t="n">
        <f aca="false">D17*Assumptions!$D$26*Assumptions!$D$12</f>
        <v>4485</v>
      </c>
      <c r="E20" s="28" t="n">
        <f aca="false">E17*Assumptions!$D$26*Assumptions!$D$12</f>
        <v>2691</v>
      </c>
      <c r="F20" s="28" t="n">
        <f aca="false">SUM(C20:E20)</f>
        <v>16146</v>
      </c>
    </row>
    <row r="21" customFormat="false" ht="15" hidden="false" customHeight="false" outlineLevel="0" collapsed="false">
      <c r="A21" s="2" t="s">
        <v>150</v>
      </c>
      <c r="B21" s="2" t="s">
        <v>22</v>
      </c>
      <c r="C21" s="28" t="n">
        <f aca="false">C17*Assumptions!$D$14*Assumptions!$D$13</f>
        <v>2245.5</v>
      </c>
      <c r="D21" s="28" t="n">
        <f aca="false">D17*Assumptions!$D$14*Assumptions!$D$13</f>
        <v>1122.75</v>
      </c>
      <c r="E21" s="28" t="n">
        <f aca="false">E17*Assumptions!$D$14*Assumptions!$D$13</f>
        <v>673.65</v>
      </c>
      <c r="F21" s="28" t="n">
        <f aca="false">SUM(C21:E21)</f>
        <v>4041.9</v>
      </c>
    </row>
    <row r="22" customFormat="false" ht="15" hidden="false" customHeight="false" outlineLevel="0" collapsed="false">
      <c r="A22" s="2" t="s">
        <v>151</v>
      </c>
      <c r="B22" s="2" t="s">
        <v>22</v>
      </c>
      <c r="C22" s="28" t="n">
        <f aca="false">Assumptions!$D$27</f>
        <v>2500</v>
      </c>
      <c r="D22" s="28" t="n">
        <f aca="false">Assumptions!$D$27</f>
        <v>2500</v>
      </c>
      <c r="E22" s="28" t="n">
        <f aca="false">Assumptions!$D$27</f>
        <v>2500</v>
      </c>
      <c r="F22" s="28" t="n">
        <f aca="false">SUM(C22:E22)</f>
        <v>7500</v>
      </c>
    </row>
    <row r="23" customFormat="false" ht="15" hidden="false" customHeight="false" outlineLevel="0" collapsed="false">
      <c r="A23" s="39" t="s">
        <v>152</v>
      </c>
      <c r="B23" s="39" t="s">
        <v>22</v>
      </c>
      <c r="C23" s="40" t="n">
        <f aca="false">SUM(C19:C22)</f>
        <v>113365.75</v>
      </c>
      <c r="D23" s="40" t="n">
        <f aca="false">SUM(D19:D22)</f>
        <v>57932.875</v>
      </c>
      <c r="E23" s="40" t="n">
        <f aca="false">SUM(E19:E22)</f>
        <v>35759.725</v>
      </c>
      <c r="F23" s="40" t="n">
        <f aca="false">SUM(C23:E23)</f>
        <v>207058.35</v>
      </c>
    </row>
    <row r="24" customFormat="false" ht="15" hidden="false" customHeight="false" outlineLevel="0" collapsed="false">
      <c r="A24" s="2" t="s">
        <v>153</v>
      </c>
      <c r="B24" s="2" t="s">
        <v>22</v>
      </c>
      <c r="C24" s="28" t="n">
        <f aca="false">-(C19+C20+C21)*Assumptions!$D$10</f>
        <v>-33259.725</v>
      </c>
      <c r="D24" s="28" t="n">
        <f aca="false">-(D19+D20+D21)*Assumptions!$D$10</f>
        <v>-16629.8625</v>
      </c>
      <c r="E24" s="28" t="n">
        <f aca="false">-(E19+E20+E21)*Assumptions!$D$10</f>
        <v>-9977.9175</v>
      </c>
      <c r="F24" s="28" t="n">
        <f aca="false">SUM(C24:E24)</f>
        <v>-59867.505</v>
      </c>
    </row>
    <row r="25" customFormat="false" ht="15" hidden="false" customHeight="false" outlineLevel="0" collapsed="false">
      <c r="A25" s="2" t="s">
        <v>154</v>
      </c>
      <c r="B25" s="2" t="s">
        <v>22</v>
      </c>
      <c r="C25" s="28" t="n">
        <f aca="false">-C22*Assumptions!$D$11</f>
        <v>-250</v>
      </c>
      <c r="D25" s="28" t="n">
        <f aca="false">-D22*Assumptions!$D$11</f>
        <v>-250</v>
      </c>
      <c r="E25" s="28" t="n">
        <f aca="false">-E22*Assumptions!$D$11</f>
        <v>-250</v>
      </c>
      <c r="F25" s="28" t="n">
        <f aca="false">SUM(C25:E25)</f>
        <v>-750</v>
      </c>
    </row>
    <row r="26" customFormat="false" ht="15" hidden="false" customHeight="false" outlineLevel="0" collapsed="false">
      <c r="A26" s="30" t="s">
        <v>155</v>
      </c>
      <c r="B26" s="30" t="s">
        <v>22</v>
      </c>
      <c r="C26" s="31" t="n">
        <f aca="false">C23+C24+C25</f>
        <v>79856.025</v>
      </c>
      <c r="D26" s="31" t="n">
        <f aca="false">D23+D24+D25</f>
        <v>41053.0125</v>
      </c>
      <c r="E26" s="31" t="n">
        <f aca="false">E23+E24+E25</f>
        <v>25531.8075</v>
      </c>
      <c r="F26" s="31" t="n">
        <f aca="false">SUM(C26:E26)</f>
        <v>146440.845</v>
      </c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</row>
    <row r="28" customFormat="false" ht="15" hidden="false" customHeight="false" outlineLevel="0" collapsed="false">
      <c r="A28" s="4" t="s">
        <v>157</v>
      </c>
      <c r="B28" s="4" t="s">
        <v>15</v>
      </c>
      <c r="C28" s="4" t="s">
        <v>142</v>
      </c>
      <c r="D28" s="4" t="s">
        <v>143</v>
      </c>
      <c r="E28" s="4" t="s">
        <v>144</v>
      </c>
      <c r="F28" s="4" t="s">
        <v>145</v>
      </c>
    </row>
    <row r="29" customFormat="false" ht="15" hidden="false" customHeight="false" outlineLevel="0" collapsed="false">
      <c r="A29" s="2" t="s">
        <v>146</v>
      </c>
      <c r="B29" s="2" t="s">
        <v>19</v>
      </c>
      <c r="C29" s="37" t="n">
        <f aca="false">Assumptions!$E$22*Assumptions!$E$23</f>
        <v>54000</v>
      </c>
      <c r="D29" s="37" t="n">
        <f aca="false">C29*Assumptions!$E$24</f>
        <v>32400</v>
      </c>
      <c r="E29" s="37" t="n">
        <f aca="false">D29*Assumptions!$E$25</f>
        <v>22680</v>
      </c>
      <c r="F29" s="37" t="n">
        <f aca="false">SUM(C29:E29)</f>
        <v>109080</v>
      </c>
    </row>
    <row r="30" customFormat="false" ht="15" hidden="false" customHeight="false" outlineLevel="0" collapsed="false">
      <c r="A30" s="2" t="s">
        <v>147</v>
      </c>
      <c r="B30" s="2" t="s">
        <v>22</v>
      </c>
      <c r="C30" s="38" t="n">
        <f aca="false">Assumptions!$D$7*(1-Assumptions!$D$8)*(1-Assumptions!$D$9)</f>
        <v>6.64335</v>
      </c>
      <c r="D30" s="38" t="n">
        <f aca="false">Assumptions!$D$7*(1-Assumptions!$D$8)*(1-Assumptions!$D$9)</f>
        <v>6.64335</v>
      </c>
      <c r="E30" s="38" t="n">
        <f aca="false">Assumptions!$D$7*(1-Assumptions!$D$8)*(1-Assumptions!$D$9)</f>
        <v>6.64335</v>
      </c>
      <c r="F30" s="2"/>
    </row>
    <row r="31" customFormat="false" ht="15" hidden="false" customHeight="false" outlineLevel="0" collapsed="false">
      <c r="A31" s="2" t="s">
        <v>148</v>
      </c>
      <c r="B31" s="2" t="s">
        <v>22</v>
      </c>
      <c r="C31" s="28" t="n">
        <f aca="false">C29*C30</f>
        <v>358740.9</v>
      </c>
      <c r="D31" s="28" t="n">
        <f aca="false">D29*D30</f>
        <v>215244.54</v>
      </c>
      <c r="E31" s="28" t="n">
        <f aca="false">E29*E30</f>
        <v>150671.178</v>
      </c>
      <c r="F31" s="28" t="n">
        <f aca="false">SUM(C31:E31)</f>
        <v>724656.618</v>
      </c>
    </row>
    <row r="32" customFormat="false" ht="15" hidden="false" customHeight="false" outlineLevel="0" collapsed="false">
      <c r="A32" s="2" t="s">
        <v>149</v>
      </c>
      <c r="B32" s="2" t="s">
        <v>22</v>
      </c>
      <c r="C32" s="28" t="n">
        <f aca="false">C29*Assumptions!$E$26*Assumptions!$D$12</f>
        <v>48438</v>
      </c>
      <c r="D32" s="28" t="n">
        <f aca="false">D29*Assumptions!$E$26*Assumptions!$D$12</f>
        <v>29062.8</v>
      </c>
      <c r="E32" s="28" t="n">
        <f aca="false">E29*Assumptions!$E$26*Assumptions!$D$12</f>
        <v>20343.96</v>
      </c>
      <c r="F32" s="28" t="n">
        <f aca="false">SUM(C32:E32)</f>
        <v>97844.76</v>
      </c>
    </row>
    <row r="33" customFormat="false" ht="15" hidden="false" customHeight="false" outlineLevel="0" collapsed="false">
      <c r="A33" s="2" t="s">
        <v>150</v>
      </c>
      <c r="B33" s="2" t="s">
        <v>22</v>
      </c>
      <c r="C33" s="28" t="n">
        <f aca="false">C29*Assumptions!$D$14*Assumptions!$D$13</f>
        <v>8083.8</v>
      </c>
      <c r="D33" s="28" t="n">
        <f aca="false">D29*Assumptions!$D$14*Assumptions!$D$13</f>
        <v>4850.28</v>
      </c>
      <c r="E33" s="28" t="n">
        <f aca="false">E29*Assumptions!$D$14*Assumptions!$D$13</f>
        <v>3395.196</v>
      </c>
      <c r="F33" s="28" t="n">
        <f aca="false">SUM(C33:E33)</f>
        <v>16329.276</v>
      </c>
    </row>
    <row r="34" customFormat="false" ht="15" hidden="false" customHeight="false" outlineLevel="0" collapsed="false">
      <c r="A34" s="2" t="s">
        <v>151</v>
      </c>
      <c r="B34" s="2" t="s">
        <v>22</v>
      </c>
      <c r="C34" s="28" t="n">
        <f aca="false">Assumptions!$E$27</f>
        <v>5000</v>
      </c>
      <c r="D34" s="28" t="n">
        <f aca="false">Assumptions!$E$27</f>
        <v>5000</v>
      </c>
      <c r="E34" s="28" t="n">
        <f aca="false">Assumptions!$E$27</f>
        <v>5000</v>
      </c>
      <c r="F34" s="28" t="n">
        <f aca="false">SUM(C34:E34)</f>
        <v>15000</v>
      </c>
    </row>
    <row r="35" customFormat="false" ht="15" hidden="false" customHeight="false" outlineLevel="0" collapsed="false">
      <c r="A35" s="39" t="s">
        <v>152</v>
      </c>
      <c r="B35" s="39" t="s">
        <v>22</v>
      </c>
      <c r="C35" s="40" t="n">
        <f aca="false">SUM(C31:C34)</f>
        <v>420262.7</v>
      </c>
      <c r="D35" s="40" t="n">
        <f aca="false">SUM(D31:D34)</f>
        <v>254157.62</v>
      </c>
      <c r="E35" s="40" t="n">
        <f aca="false">SUM(E31:E34)</f>
        <v>179410.334</v>
      </c>
      <c r="F35" s="40" t="n">
        <f aca="false">SUM(C35:E35)</f>
        <v>853830.654</v>
      </c>
    </row>
    <row r="36" customFormat="false" ht="15" hidden="false" customHeight="false" outlineLevel="0" collapsed="false">
      <c r="A36" s="2" t="s">
        <v>153</v>
      </c>
      <c r="B36" s="2" t="s">
        <v>22</v>
      </c>
      <c r="C36" s="28" t="n">
        <f aca="false">-(C31+C32+C33)*Assumptions!$D$10</f>
        <v>-124578.81</v>
      </c>
      <c r="D36" s="28" t="n">
        <f aca="false">-(D31+D32+D33)*Assumptions!$D$10</f>
        <v>-74747.286</v>
      </c>
      <c r="E36" s="28" t="n">
        <f aca="false">-(E31+E32+E33)*Assumptions!$D$10</f>
        <v>-52323.1002</v>
      </c>
      <c r="F36" s="28" t="n">
        <f aca="false">SUM(C36:E36)</f>
        <v>-251649.1962</v>
      </c>
    </row>
    <row r="37" customFormat="false" ht="15" hidden="false" customHeight="false" outlineLevel="0" collapsed="false">
      <c r="A37" s="2" t="s">
        <v>154</v>
      </c>
      <c r="B37" s="2" t="s">
        <v>22</v>
      </c>
      <c r="C37" s="28" t="n">
        <f aca="false">-C34*Assumptions!$D$11</f>
        <v>-500</v>
      </c>
      <c r="D37" s="28" t="n">
        <f aca="false">-D34*Assumptions!$D$11</f>
        <v>-500</v>
      </c>
      <c r="E37" s="28" t="n">
        <f aca="false">-E34*Assumptions!$D$11</f>
        <v>-500</v>
      </c>
      <c r="F37" s="28" t="n">
        <f aca="false">SUM(C37:E37)</f>
        <v>-1500</v>
      </c>
    </row>
    <row r="38" customFormat="false" ht="15" hidden="false" customHeight="false" outlineLevel="0" collapsed="false">
      <c r="A38" s="30" t="s">
        <v>155</v>
      </c>
      <c r="B38" s="30" t="s">
        <v>22</v>
      </c>
      <c r="C38" s="31" t="n">
        <f aca="false">C35+C36+C37</f>
        <v>295183.89</v>
      </c>
      <c r="D38" s="31" t="n">
        <f aca="false">D35+D36+D37</f>
        <v>178910.334</v>
      </c>
      <c r="E38" s="31" t="n">
        <f aca="false">E35+E36+E37</f>
        <v>126587.2338</v>
      </c>
      <c r="F38" s="31" t="n">
        <f aca="false">SUM(C38:E38)</f>
        <v>600681.4578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5"/>
    <col collapsed="false" customWidth="true" hidden="false" outlineLevel="0" max="6" min="3" style="0" width="14"/>
  </cols>
  <sheetData>
    <row r="1" customFormat="false" ht="17.35" hidden="false" customHeight="false" outlineLevel="0" collapsed="false">
      <c r="A1" s="1" t="s">
        <v>158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159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141</v>
      </c>
      <c r="B4" s="4" t="s">
        <v>160</v>
      </c>
      <c r="C4" s="4" t="s">
        <v>142</v>
      </c>
      <c r="D4" s="4" t="s">
        <v>143</v>
      </c>
      <c r="E4" s="4" t="s">
        <v>144</v>
      </c>
      <c r="F4" s="4" t="s">
        <v>161</v>
      </c>
    </row>
    <row r="5" customFormat="false" ht="15" hidden="false" customHeight="false" outlineLevel="0" collapsed="false">
      <c r="A5" s="15" t="s">
        <v>162</v>
      </c>
      <c r="B5" s="16" t="n">
        <v>0</v>
      </c>
      <c r="C5" s="16" t="n">
        <f aca="false">Revenue!C14</f>
        <v>16786.192</v>
      </c>
      <c r="D5" s="16" t="n">
        <f aca="false">Revenue!D14</f>
        <v>6460.1672</v>
      </c>
      <c r="E5" s="16" t="n">
        <f aca="false">Revenue!E14</f>
        <v>3680.0836</v>
      </c>
      <c r="F5" s="16" t="n">
        <f aca="false">SUM(B5:E5)</f>
        <v>26926.4428</v>
      </c>
    </row>
    <row r="6" customFormat="false" ht="15" hidden="false" customHeight="false" outlineLevel="0" collapsed="false">
      <c r="A6" s="2" t="s">
        <v>163</v>
      </c>
      <c r="B6" s="6" t="n">
        <f aca="false">-'Development Cost'!$F$25</f>
        <v>-74580</v>
      </c>
      <c r="C6" s="28" t="n">
        <v>0</v>
      </c>
      <c r="D6" s="28" t="n">
        <v>0</v>
      </c>
      <c r="E6" s="28" t="n">
        <v>0</v>
      </c>
      <c r="F6" s="28" t="n">
        <f aca="false">SUM(B6:E6)</f>
        <v>-74580</v>
      </c>
    </row>
    <row r="7" customFormat="false" ht="15" hidden="false" customHeight="false" outlineLevel="0" collapsed="false">
      <c r="A7" s="2" t="s">
        <v>164</v>
      </c>
      <c r="B7" s="28" t="n">
        <v>0</v>
      </c>
      <c r="C7" s="6" t="n">
        <f aca="false">-Assumptions!$D$15</f>
        <v>-12000</v>
      </c>
      <c r="D7" s="6" t="n">
        <f aca="false">-Assumptions!$D$15</f>
        <v>-12000</v>
      </c>
      <c r="E7" s="6" t="n">
        <f aca="false">-Assumptions!$D$15</f>
        <v>-12000</v>
      </c>
      <c r="F7" s="28" t="n">
        <f aca="false">SUM(B7:E7)</f>
        <v>-36000</v>
      </c>
    </row>
    <row r="8" customFormat="false" ht="15" hidden="false" customHeight="false" outlineLevel="0" collapsed="false">
      <c r="A8" s="2" t="s">
        <v>165</v>
      </c>
      <c r="B8" s="28" t="n">
        <v>0</v>
      </c>
      <c r="C8" s="6" t="n">
        <f aca="false">-Assumptions!$D$16</f>
        <v>-4000</v>
      </c>
      <c r="D8" s="6" t="n">
        <f aca="false">-Assumptions!$D$16</f>
        <v>-4000</v>
      </c>
      <c r="E8" s="6" t="n">
        <f aca="false">-Assumptions!$D$16</f>
        <v>-4000</v>
      </c>
      <c r="F8" s="28" t="n">
        <f aca="false">SUM(B8:E8)</f>
        <v>-12000</v>
      </c>
    </row>
    <row r="9" customFormat="false" ht="15" hidden="false" customHeight="false" outlineLevel="0" collapsed="false">
      <c r="A9" s="2" t="s">
        <v>166</v>
      </c>
      <c r="B9" s="28" t="n">
        <v>0</v>
      </c>
      <c r="C9" s="6" t="n">
        <f aca="false">-Assumptions!$D$17</f>
        <v>-400</v>
      </c>
      <c r="D9" s="6" t="n">
        <f aca="false">-Assumptions!$D$17</f>
        <v>-400</v>
      </c>
      <c r="E9" s="6" t="n">
        <f aca="false">-Assumptions!$D$17</f>
        <v>-400</v>
      </c>
      <c r="F9" s="28" t="n">
        <f aca="false">SUM(B9:E9)</f>
        <v>-1200</v>
      </c>
    </row>
    <row r="10" customFormat="false" ht="15" hidden="false" customHeight="false" outlineLevel="0" collapsed="false">
      <c r="A10" s="30" t="s">
        <v>167</v>
      </c>
      <c r="B10" s="31" t="n">
        <f aca="false">SUM(B6:B9)</f>
        <v>-74580</v>
      </c>
      <c r="C10" s="31" t="n">
        <f aca="false">SUM(C6:C9)</f>
        <v>-16400</v>
      </c>
      <c r="D10" s="31" t="n">
        <f aca="false">SUM(D6:D9)</f>
        <v>-16400</v>
      </c>
      <c r="E10" s="31" t="n">
        <f aca="false">SUM(E6:E9)</f>
        <v>-16400</v>
      </c>
      <c r="F10" s="31" t="n">
        <f aca="false">SUM(B10:E10)</f>
        <v>-123780</v>
      </c>
    </row>
    <row r="11" customFormat="false" ht="15" hidden="false" customHeight="false" outlineLevel="0" collapsed="false">
      <c r="A11" s="15" t="s">
        <v>168</v>
      </c>
      <c r="B11" s="16" t="n">
        <f aca="false">B5+B10</f>
        <v>-74580</v>
      </c>
      <c r="C11" s="16" t="n">
        <f aca="false">C5+C10</f>
        <v>386.191999999999</v>
      </c>
      <c r="D11" s="16" t="n">
        <f aca="false">D5+D10</f>
        <v>-9939.8328</v>
      </c>
      <c r="E11" s="16" t="n">
        <f aca="false">E5+E10</f>
        <v>-12719.9164</v>
      </c>
      <c r="F11" s="16" t="n">
        <f aca="false">SUM(B11:E11)</f>
        <v>-96853.5572</v>
      </c>
    </row>
    <row r="12" customFormat="false" ht="15" hidden="false" customHeight="false" outlineLevel="0" collapsed="false">
      <c r="A12" s="2" t="s">
        <v>169</v>
      </c>
      <c r="B12" s="28" t="n">
        <f aca="false">-MAX(0,B11)*Assumptions!$D$18</f>
        <v>-0</v>
      </c>
      <c r="C12" s="28" t="n">
        <f aca="false">-MAX(0,C11)*Assumptions!$D$18</f>
        <v>-38.6191999999999</v>
      </c>
      <c r="D12" s="28" t="n">
        <f aca="false">-MAX(0,D11)*Assumptions!$D$18</f>
        <v>-0</v>
      </c>
      <c r="E12" s="28" t="n">
        <f aca="false">-MAX(0,E11)*Assumptions!$D$18</f>
        <v>-0</v>
      </c>
      <c r="F12" s="28" t="n">
        <f aca="false">SUM(B12:E12)</f>
        <v>-38.6191999999999</v>
      </c>
    </row>
    <row r="13" customFormat="false" ht="15" hidden="false" customHeight="false" outlineLevel="0" collapsed="false">
      <c r="A13" s="39" t="s">
        <v>170</v>
      </c>
      <c r="B13" s="40" t="n">
        <f aca="false">B11+B12</f>
        <v>-74580</v>
      </c>
      <c r="C13" s="40" t="n">
        <f aca="false">C11+C12</f>
        <v>347.572799999999</v>
      </c>
      <c r="D13" s="40" t="n">
        <f aca="false">D11+D12</f>
        <v>-9939.8328</v>
      </c>
      <c r="E13" s="40" t="n">
        <f aca="false">E11+E12</f>
        <v>-12719.9164</v>
      </c>
      <c r="F13" s="40" t="n">
        <f aca="false">SUM(B13:E13)</f>
        <v>-96892.1764</v>
      </c>
    </row>
    <row r="14" customFormat="false" ht="15" hidden="false" customHeight="false" outlineLevel="0" collapsed="false">
      <c r="A14" s="2" t="s">
        <v>171</v>
      </c>
      <c r="B14" s="28" t="n">
        <f aca="false">B13</f>
        <v>-74580</v>
      </c>
      <c r="C14" s="28" t="n">
        <f aca="false">B14+C13</f>
        <v>-74232.4272</v>
      </c>
      <c r="D14" s="28" t="n">
        <f aca="false">C14+D13</f>
        <v>-84172.26</v>
      </c>
      <c r="E14" s="28" t="n">
        <f aca="false">D14+E13</f>
        <v>-96892.1764</v>
      </c>
      <c r="F14" s="2"/>
    </row>
    <row r="15" customFormat="false" ht="15" hidden="false" customHeight="false" outlineLevel="0" collapsed="false">
      <c r="A15" s="15" t="s">
        <v>172</v>
      </c>
      <c r="B15" s="15" t="str">
        <f aca="false">IF(C14&gt;=0,"Year 1",IF(D14&gt;=0,"Year 2",IF(E14&gt;=0,"Year 3","After Year 3")))</f>
        <v>After Year 3</v>
      </c>
      <c r="C15" s="2"/>
      <c r="D15" s="2"/>
      <c r="E15" s="2"/>
      <c r="F15" s="2"/>
    </row>
    <row r="16" customFormat="false" ht="15" hidden="false" customHeight="false" outlineLevel="0" collapsed="false">
      <c r="A16" s="15" t="s">
        <v>173</v>
      </c>
      <c r="B16" s="41" t="n">
        <f aca="false">IF('Development Cost'!$F$25=0,0,E14/'Development Cost'!$F$25)</f>
        <v>-1.29917104317511</v>
      </c>
      <c r="C16" s="2"/>
      <c r="D16" s="2"/>
      <c r="E16" s="2"/>
      <c r="F16" s="2"/>
    </row>
    <row r="17" customFormat="false" ht="15" hidden="false" customHeight="false" outlineLevel="0" collapsed="false">
      <c r="A17" s="15" t="s">
        <v>174</v>
      </c>
      <c r="B17" s="16" t="n">
        <f aca="false">B13+NPV(Assumptions!$D$19,C13:E13)</f>
        <v>-91247.4262422558</v>
      </c>
      <c r="C17" s="2"/>
      <c r="D17" s="2"/>
      <c r="E17" s="2"/>
      <c r="F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</row>
    <row r="19" customFormat="false" ht="15" hidden="false" customHeight="false" outlineLevel="0" collapsed="false">
      <c r="A19" s="4" t="s">
        <v>156</v>
      </c>
      <c r="B19" s="4" t="s">
        <v>160</v>
      </c>
      <c r="C19" s="4" t="s">
        <v>142</v>
      </c>
      <c r="D19" s="4" t="s">
        <v>143</v>
      </c>
      <c r="E19" s="4" t="s">
        <v>144</v>
      </c>
      <c r="F19" s="4" t="s">
        <v>161</v>
      </c>
    </row>
    <row r="20" customFormat="false" ht="15" hidden="false" customHeight="false" outlineLevel="0" collapsed="false">
      <c r="A20" s="15" t="s">
        <v>162</v>
      </c>
      <c r="B20" s="16" t="n">
        <v>0</v>
      </c>
      <c r="C20" s="16" t="n">
        <f aca="false">Revenue!C26</f>
        <v>79856.025</v>
      </c>
      <c r="D20" s="16" t="n">
        <f aca="false">Revenue!D26</f>
        <v>41053.0125</v>
      </c>
      <c r="E20" s="16" t="n">
        <f aca="false">Revenue!E26</f>
        <v>25531.8075</v>
      </c>
      <c r="F20" s="16" t="n">
        <f aca="false">SUM(B20:E20)</f>
        <v>146440.845</v>
      </c>
    </row>
    <row r="21" customFormat="false" ht="15" hidden="false" customHeight="false" outlineLevel="0" collapsed="false">
      <c r="A21" s="2" t="s">
        <v>163</v>
      </c>
      <c r="B21" s="6" t="n">
        <f aca="false">-'Development Cost'!$F$25</f>
        <v>-74580</v>
      </c>
      <c r="C21" s="28" t="n">
        <v>0</v>
      </c>
      <c r="D21" s="28" t="n">
        <v>0</v>
      </c>
      <c r="E21" s="28" t="n">
        <v>0</v>
      </c>
      <c r="F21" s="28" t="n">
        <f aca="false">SUM(B21:E21)</f>
        <v>-74580</v>
      </c>
    </row>
    <row r="22" customFormat="false" ht="15" hidden="false" customHeight="false" outlineLevel="0" collapsed="false">
      <c r="A22" s="2" t="s">
        <v>164</v>
      </c>
      <c r="B22" s="28" t="n">
        <v>0</v>
      </c>
      <c r="C22" s="6" t="n">
        <f aca="false">-Assumptions!$D$15</f>
        <v>-12000</v>
      </c>
      <c r="D22" s="6" t="n">
        <f aca="false">-Assumptions!$D$15</f>
        <v>-12000</v>
      </c>
      <c r="E22" s="6" t="n">
        <f aca="false">-Assumptions!$D$15</f>
        <v>-12000</v>
      </c>
      <c r="F22" s="28" t="n">
        <f aca="false">SUM(B22:E22)</f>
        <v>-36000</v>
      </c>
    </row>
    <row r="23" customFormat="false" ht="15" hidden="false" customHeight="false" outlineLevel="0" collapsed="false">
      <c r="A23" s="2" t="s">
        <v>165</v>
      </c>
      <c r="B23" s="28" t="n">
        <v>0</v>
      </c>
      <c r="C23" s="6" t="n">
        <f aca="false">-Assumptions!$D$16</f>
        <v>-4000</v>
      </c>
      <c r="D23" s="6" t="n">
        <f aca="false">-Assumptions!$D$16</f>
        <v>-4000</v>
      </c>
      <c r="E23" s="6" t="n">
        <f aca="false">-Assumptions!$D$16</f>
        <v>-4000</v>
      </c>
      <c r="F23" s="28" t="n">
        <f aca="false">SUM(B23:E23)</f>
        <v>-12000</v>
      </c>
    </row>
    <row r="24" customFormat="false" ht="15" hidden="false" customHeight="false" outlineLevel="0" collapsed="false">
      <c r="A24" s="2" t="s">
        <v>166</v>
      </c>
      <c r="B24" s="28" t="n">
        <v>0</v>
      </c>
      <c r="C24" s="6" t="n">
        <f aca="false">-Assumptions!$D$17</f>
        <v>-400</v>
      </c>
      <c r="D24" s="6" t="n">
        <f aca="false">-Assumptions!$D$17</f>
        <v>-400</v>
      </c>
      <c r="E24" s="6" t="n">
        <f aca="false">-Assumptions!$D$17</f>
        <v>-400</v>
      </c>
      <c r="F24" s="28" t="n">
        <f aca="false">SUM(B24:E24)</f>
        <v>-1200</v>
      </c>
    </row>
    <row r="25" customFormat="false" ht="15" hidden="false" customHeight="false" outlineLevel="0" collapsed="false">
      <c r="A25" s="30" t="s">
        <v>167</v>
      </c>
      <c r="B25" s="31" t="n">
        <f aca="false">SUM(B21:B24)</f>
        <v>-74580</v>
      </c>
      <c r="C25" s="31" t="n">
        <f aca="false">SUM(C21:C24)</f>
        <v>-16400</v>
      </c>
      <c r="D25" s="31" t="n">
        <f aca="false">SUM(D21:D24)</f>
        <v>-16400</v>
      </c>
      <c r="E25" s="31" t="n">
        <f aca="false">SUM(E21:E24)</f>
        <v>-16400</v>
      </c>
      <c r="F25" s="31" t="n">
        <f aca="false">SUM(B25:E25)</f>
        <v>-123780</v>
      </c>
    </row>
    <row r="26" customFormat="false" ht="15" hidden="false" customHeight="false" outlineLevel="0" collapsed="false">
      <c r="A26" s="15" t="s">
        <v>168</v>
      </c>
      <c r="B26" s="16" t="n">
        <f aca="false">B20+B25</f>
        <v>-74580</v>
      </c>
      <c r="C26" s="16" t="n">
        <f aca="false">C20+C25</f>
        <v>63456.025</v>
      </c>
      <c r="D26" s="16" t="n">
        <f aca="false">D20+D25</f>
        <v>24653.0125</v>
      </c>
      <c r="E26" s="16" t="n">
        <f aca="false">E20+E25</f>
        <v>9131.8075</v>
      </c>
      <c r="F26" s="16" t="n">
        <f aca="false">SUM(B26:E26)</f>
        <v>22660.845</v>
      </c>
    </row>
    <row r="27" customFormat="false" ht="15" hidden="false" customHeight="false" outlineLevel="0" collapsed="false">
      <c r="A27" s="2" t="s">
        <v>169</v>
      </c>
      <c r="B27" s="28" t="n">
        <f aca="false">-MAX(0,B26)*Assumptions!$D$18</f>
        <v>-0</v>
      </c>
      <c r="C27" s="28" t="n">
        <f aca="false">-MAX(0,C26)*Assumptions!$D$18</f>
        <v>-6345.6025</v>
      </c>
      <c r="D27" s="28" t="n">
        <f aca="false">-MAX(0,D26)*Assumptions!$D$18</f>
        <v>-2465.30125</v>
      </c>
      <c r="E27" s="28" t="n">
        <f aca="false">-MAX(0,E26)*Assumptions!$D$18</f>
        <v>-913.18075</v>
      </c>
      <c r="F27" s="28" t="n">
        <f aca="false">SUM(B27:E27)</f>
        <v>-9724.0845</v>
      </c>
    </row>
    <row r="28" customFormat="false" ht="15" hidden="false" customHeight="false" outlineLevel="0" collapsed="false">
      <c r="A28" s="39" t="s">
        <v>170</v>
      </c>
      <c r="B28" s="40" t="n">
        <f aca="false">B26+B27</f>
        <v>-74580</v>
      </c>
      <c r="C28" s="40" t="n">
        <f aca="false">C26+C27</f>
        <v>57110.4225</v>
      </c>
      <c r="D28" s="40" t="n">
        <f aca="false">D26+D27</f>
        <v>22187.71125</v>
      </c>
      <c r="E28" s="40" t="n">
        <f aca="false">E26+E27</f>
        <v>8218.62675</v>
      </c>
      <c r="F28" s="40" t="n">
        <f aca="false">SUM(B28:E28)</f>
        <v>12936.7605</v>
      </c>
    </row>
    <row r="29" customFormat="false" ht="15" hidden="false" customHeight="false" outlineLevel="0" collapsed="false">
      <c r="A29" s="2" t="s">
        <v>171</v>
      </c>
      <c r="B29" s="28" t="n">
        <f aca="false">B28</f>
        <v>-74580</v>
      </c>
      <c r="C29" s="28" t="n">
        <f aca="false">B29+C28</f>
        <v>-17469.5775</v>
      </c>
      <c r="D29" s="28" t="n">
        <f aca="false">C29+D28</f>
        <v>4718.13374999999</v>
      </c>
      <c r="E29" s="28" t="n">
        <f aca="false">D29+E28</f>
        <v>12936.7605</v>
      </c>
      <c r="F29" s="2"/>
    </row>
    <row r="30" customFormat="false" ht="15" hidden="false" customHeight="false" outlineLevel="0" collapsed="false">
      <c r="A30" s="15" t="s">
        <v>172</v>
      </c>
      <c r="B30" s="15" t="str">
        <f aca="false">IF(C29&gt;=0,"Year 1",IF(D29&gt;=0,"Year 2",IF(E29&gt;=0,"Year 3","After Year 3")))</f>
        <v>Year 2</v>
      </c>
      <c r="C30" s="2"/>
      <c r="D30" s="2"/>
      <c r="E30" s="2"/>
      <c r="F30" s="2"/>
    </row>
    <row r="31" customFormat="false" ht="15" hidden="false" customHeight="false" outlineLevel="0" collapsed="false">
      <c r="A31" s="15" t="s">
        <v>173</v>
      </c>
      <c r="B31" s="41" t="n">
        <f aca="false">IF('Development Cost'!$F$25=0,0,E29/'Development Cost'!$F$25)</f>
        <v>0.173461524537409</v>
      </c>
      <c r="C31" s="2"/>
      <c r="D31" s="2"/>
      <c r="E31" s="2"/>
      <c r="F31" s="2"/>
    </row>
    <row r="32" customFormat="false" ht="15" hidden="false" customHeight="false" outlineLevel="0" collapsed="false">
      <c r="A32" s="15" t="s">
        <v>174</v>
      </c>
      <c r="B32" s="16" t="n">
        <f aca="false">B28+NPV(Assumptions!$D$19,C28:E28)</f>
        <v>-50.7875891149015</v>
      </c>
      <c r="C32" s="2"/>
      <c r="D32" s="2"/>
      <c r="E32" s="2"/>
      <c r="F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</row>
    <row r="34" customFormat="false" ht="15" hidden="false" customHeight="false" outlineLevel="0" collapsed="false">
      <c r="A34" s="4" t="s">
        <v>157</v>
      </c>
      <c r="B34" s="4" t="s">
        <v>160</v>
      </c>
      <c r="C34" s="4" t="s">
        <v>142</v>
      </c>
      <c r="D34" s="4" t="s">
        <v>143</v>
      </c>
      <c r="E34" s="4" t="s">
        <v>144</v>
      </c>
      <c r="F34" s="4" t="s">
        <v>161</v>
      </c>
    </row>
    <row r="35" customFormat="false" ht="15" hidden="false" customHeight="false" outlineLevel="0" collapsed="false">
      <c r="A35" s="15" t="s">
        <v>162</v>
      </c>
      <c r="B35" s="16" t="n">
        <v>0</v>
      </c>
      <c r="C35" s="16" t="n">
        <f aca="false">Revenue!C38</f>
        <v>295183.89</v>
      </c>
      <c r="D35" s="16" t="n">
        <f aca="false">Revenue!D38</f>
        <v>178910.334</v>
      </c>
      <c r="E35" s="16" t="n">
        <f aca="false">Revenue!E38</f>
        <v>126587.2338</v>
      </c>
      <c r="F35" s="16" t="n">
        <f aca="false">SUM(B35:E35)</f>
        <v>600681.4578</v>
      </c>
    </row>
    <row r="36" customFormat="false" ht="15" hidden="false" customHeight="false" outlineLevel="0" collapsed="false">
      <c r="A36" s="2" t="s">
        <v>163</v>
      </c>
      <c r="B36" s="6" t="n">
        <f aca="false">-'Development Cost'!$F$25</f>
        <v>-74580</v>
      </c>
      <c r="C36" s="28" t="n">
        <v>0</v>
      </c>
      <c r="D36" s="28" t="n">
        <v>0</v>
      </c>
      <c r="E36" s="28" t="n">
        <v>0</v>
      </c>
      <c r="F36" s="28" t="n">
        <f aca="false">SUM(B36:E36)</f>
        <v>-74580</v>
      </c>
    </row>
    <row r="37" customFormat="false" ht="15" hidden="false" customHeight="false" outlineLevel="0" collapsed="false">
      <c r="A37" s="2" t="s">
        <v>164</v>
      </c>
      <c r="B37" s="28" t="n">
        <v>0</v>
      </c>
      <c r="C37" s="6" t="n">
        <f aca="false">-Assumptions!$D$15</f>
        <v>-12000</v>
      </c>
      <c r="D37" s="6" t="n">
        <f aca="false">-Assumptions!$D$15</f>
        <v>-12000</v>
      </c>
      <c r="E37" s="6" t="n">
        <f aca="false">-Assumptions!$D$15</f>
        <v>-12000</v>
      </c>
      <c r="F37" s="28" t="n">
        <f aca="false">SUM(B37:E37)</f>
        <v>-36000</v>
      </c>
    </row>
    <row r="38" customFormat="false" ht="15" hidden="false" customHeight="false" outlineLevel="0" collapsed="false">
      <c r="A38" s="2" t="s">
        <v>165</v>
      </c>
      <c r="B38" s="28" t="n">
        <v>0</v>
      </c>
      <c r="C38" s="6" t="n">
        <f aca="false">-Assumptions!$D$16</f>
        <v>-4000</v>
      </c>
      <c r="D38" s="6" t="n">
        <f aca="false">-Assumptions!$D$16</f>
        <v>-4000</v>
      </c>
      <c r="E38" s="6" t="n">
        <f aca="false">-Assumptions!$D$16</f>
        <v>-4000</v>
      </c>
      <c r="F38" s="28" t="n">
        <f aca="false">SUM(B38:E38)</f>
        <v>-12000</v>
      </c>
    </row>
    <row r="39" customFormat="false" ht="15" hidden="false" customHeight="false" outlineLevel="0" collapsed="false">
      <c r="A39" s="2" t="s">
        <v>166</v>
      </c>
      <c r="B39" s="28" t="n">
        <v>0</v>
      </c>
      <c r="C39" s="6" t="n">
        <f aca="false">-Assumptions!$D$17</f>
        <v>-400</v>
      </c>
      <c r="D39" s="6" t="n">
        <f aca="false">-Assumptions!$D$17</f>
        <v>-400</v>
      </c>
      <c r="E39" s="6" t="n">
        <f aca="false">-Assumptions!$D$17</f>
        <v>-400</v>
      </c>
      <c r="F39" s="28" t="n">
        <f aca="false">SUM(B39:E39)</f>
        <v>-1200</v>
      </c>
    </row>
    <row r="40" customFormat="false" ht="15" hidden="false" customHeight="false" outlineLevel="0" collapsed="false">
      <c r="A40" s="30" t="s">
        <v>167</v>
      </c>
      <c r="B40" s="31" t="n">
        <f aca="false">SUM(B36:B39)</f>
        <v>-74580</v>
      </c>
      <c r="C40" s="31" t="n">
        <f aca="false">SUM(C36:C39)</f>
        <v>-16400</v>
      </c>
      <c r="D40" s="31" t="n">
        <f aca="false">SUM(D36:D39)</f>
        <v>-16400</v>
      </c>
      <c r="E40" s="31" t="n">
        <f aca="false">SUM(E36:E39)</f>
        <v>-16400</v>
      </c>
      <c r="F40" s="31" t="n">
        <f aca="false">SUM(B40:E40)</f>
        <v>-123780</v>
      </c>
    </row>
    <row r="41" customFormat="false" ht="15" hidden="false" customHeight="false" outlineLevel="0" collapsed="false">
      <c r="A41" s="15" t="s">
        <v>168</v>
      </c>
      <c r="B41" s="16" t="n">
        <f aca="false">B35+B40</f>
        <v>-74580</v>
      </c>
      <c r="C41" s="16" t="n">
        <f aca="false">C35+C40</f>
        <v>278783.89</v>
      </c>
      <c r="D41" s="16" t="n">
        <f aca="false">D35+D40</f>
        <v>162510.334</v>
      </c>
      <c r="E41" s="16" t="n">
        <f aca="false">E35+E40</f>
        <v>110187.2338</v>
      </c>
      <c r="F41" s="16" t="n">
        <f aca="false">SUM(B41:E41)</f>
        <v>476901.4578</v>
      </c>
    </row>
    <row r="42" customFormat="false" ht="15" hidden="false" customHeight="false" outlineLevel="0" collapsed="false">
      <c r="A42" s="2" t="s">
        <v>169</v>
      </c>
      <c r="B42" s="28" t="n">
        <f aca="false">-MAX(0,B41)*Assumptions!$D$18</f>
        <v>-0</v>
      </c>
      <c r="C42" s="28" t="n">
        <f aca="false">-MAX(0,C41)*Assumptions!$D$18</f>
        <v>-27878.389</v>
      </c>
      <c r="D42" s="28" t="n">
        <f aca="false">-MAX(0,D41)*Assumptions!$D$18</f>
        <v>-16251.0334</v>
      </c>
      <c r="E42" s="28" t="n">
        <f aca="false">-MAX(0,E41)*Assumptions!$D$18</f>
        <v>-11018.72338</v>
      </c>
      <c r="F42" s="28" t="n">
        <f aca="false">SUM(B42:E42)</f>
        <v>-55148.14578</v>
      </c>
    </row>
    <row r="43" customFormat="false" ht="15" hidden="false" customHeight="false" outlineLevel="0" collapsed="false">
      <c r="A43" s="39" t="s">
        <v>170</v>
      </c>
      <c r="B43" s="40" t="n">
        <f aca="false">B41+B42</f>
        <v>-74580</v>
      </c>
      <c r="C43" s="40" t="n">
        <f aca="false">C41+C42</f>
        <v>250905.501</v>
      </c>
      <c r="D43" s="40" t="n">
        <f aca="false">D41+D42</f>
        <v>146259.3006</v>
      </c>
      <c r="E43" s="40" t="n">
        <f aca="false">E41+E42</f>
        <v>99168.51042</v>
      </c>
      <c r="F43" s="40" t="n">
        <f aca="false">SUM(B43:E43)</f>
        <v>421753.31202</v>
      </c>
    </row>
    <row r="44" customFormat="false" ht="15" hidden="false" customHeight="false" outlineLevel="0" collapsed="false">
      <c r="A44" s="2" t="s">
        <v>171</v>
      </c>
      <c r="B44" s="28" t="n">
        <f aca="false">B43</f>
        <v>-74580</v>
      </c>
      <c r="C44" s="28" t="n">
        <f aca="false">B44+C43</f>
        <v>176325.501</v>
      </c>
      <c r="D44" s="28" t="n">
        <f aca="false">C44+D43</f>
        <v>322584.8016</v>
      </c>
      <c r="E44" s="28" t="n">
        <f aca="false">D44+E43</f>
        <v>421753.31202</v>
      </c>
      <c r="F44" s="2"/>
    </row>
    <row r="45" customFormat="false" ht="15" hidden="false" customHeight="false" outlineLevel="0" collapsed="false">
      <c r="A45" s="15" t="s">
        <v>172</v>
      </c>
      <c r="B45" s="15" t="str">
        <f aca="false">IF(C44&gt;=0,"Year 1",IF(D44&gt;=0,"Year 2",IF(E44&gt;=0,"Year 3","After Year 3")))</f>
        <v>Year 1</v>
      </c>
      <c r="C45" s="2"/>
      <c r="D45" s="2"/>
      <c r="E45" s="2"/>
      <c r="F45" s="2"/>
    </row>
    <row r="46" customFormat="false" ht="15" hidden="false" customHeight="false" outlineLevel="0" collapsed="false">
      <c r="A46" s="15" t="s">
        <v>173</v>
      </c>
      <c r="B46" s="41" t="n">
        <f aca="false">IF('Development Cost'!$F$25=0,0,E44/'Development Cost'!$F$25)</f>
        <v>5.65504574979887</v>
      </c>
      <c r="C46" s="2"/>
      <c r="D46" s="2"/>
      <c r="E46" s="2"/>
      <c r="F46" s="2"/>
    </row>
    <row r="47" customFormat="false" ht="15" hidden="false" customHeight="false" outlineLevel="0" collapsed="false">
      <c r="A47" s="15" t="s">
        <v>174</v>
      </c>
      <c r="B47" s="16" t="n">
        <f aca="false">B43+NPV(Assumptions!$D$19,C43:E43)</f>
        <v>336625.974645249</v>
      </c>
      <c r="C47" s="2"/>
      <c r="D47" s="2"/>
      <c r="E47" s="2"/>
      <c r="F4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175</v>
      </c>
      <c r="B1" s="2"/>
      <c r="C1" s="2"/>
    </row>
    <row r="2" customFormat="false" ht="15" hidden="false" customHeight="false" outlineLevel="0" collapsed="false">
      <c r="A2" s="3" t="s">
        <v>176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177</v>
      </c>
      <c r="B4" s="4" t="s">
        <v>3</v>
      </c>
      <c r="C4" s="4" t="s">
        <v>47</v>
      </c>
    </row>
    <row r="5" customFormat="false" ht="15" hidden="false" customHeight="false" outlineLevel="0" collapsed="false">
      <c r="A5" s="2" t="s">
        <v>178</v>
      </c>
      <c r="B5" s="24" t="n">
        <v>130000000</v>
      </c>
      <c r="C5" s="3" t="s">
        <v>179</v>
      </c>
    </row>
    <row r="6" customFormat="false" ht="15" hidden="false" customHeight="false" outlineLevel="0" collapsed="false">
      <c r="A6" s="2" t="s">
        <v>180</v>
      </c>
      <c r="B6" s="21" t="n">
        <v>0.05</v>
      </c>
      <c r="C6" s="3" t="s">
        <v>181</v>
      </c>
    </row>
    <row r="7" customFormat="false" ht="15" hidden="false" customHeight="false" outlineLevel="0" collapsed="false">
      <c r="A7" s="15" t="s">
        <v>182</v>
      </c>
      <c r="B7" s="42" t="n">
        <f aca="false">B5*B6</f>
        <v>6500000</v>
      </c>
      <c r="C7" s="3" t="s">
        <v>183</v>
      </c>
    </row>
    <row r="8" customFormat="false" ht="15" hidden="false" customHeight="false" outlineLevel="0" collapsed="false">
      <c r="A8" s="2" t="s">
        <v>184</v>
      </c>
      <c r="B8" s="21" t="n">
        <v>0.15</v>
      </c>
      <c r="C8" s="3" t="s">
        <v>67</v>
      </c>
    </row>
    <row r="9" customFormat="false" ht="15" hidden="false" customHeight="false" outlineLevel="0" collapsed="false">
      <c r="A9" s="15" t="s">
        <v>185</v>
      </c>
      <c r="B9" s="42" t="n">
        <f aca="false">B7*B8</f>
        <v>975000</v>
      </c>
      <c r="C9" s="3" t="s">
        <v>186</v>
      </c>
    </row>
    <row r="10" customFormat="false" ht="15" hidden="false" customHeight="false" outlineLevel="0" collapsed="false">
      <c r="A10" s="2" t="s">
        <v>187</v>
      </c>
      <c r="B10" s="33" t="n">
        <v>0.0154</v>
      </c>
      <c r="C10" s="3" t="s">
        <v>188</v>
      </c>
    </row>
    <row r="11" customFormat="false" ht="15" hidden="false" customHeight="false" outlineLevel="0" collapsed="false">
      <c r="A11" s="15" t="s">
        <v>189</v>
      </c>
      <c r="B11" s="42" t="n">
        <f aca="false">B9*B10</f>
        <v>15015</v>
      </c>
      <c r="C11" s="3" t="s">
        <v>190</v>
      </c>
    </row>
    <row r="12" customFormat="false" ht="15" hidden="false" customHeight="false" outlineLevel="0" collapsed="false">
      <c r="A12" s="2" t="s">
        <v>191</v>
      </c>
      <c r="B12" s="43" t="n">
        <f aca="false">Revenue!C17</f>
        <v>15000</v>
      </c>
      <c r="C12" s="2"/>
    </row>
    <row r="13" customFormat="false" ht="15" hidden="false" customHeight="false" outlineLevel="0" collapsed="false">
      <c r="A13" s="2"/>
      <c r="B13" s="2"/>
      <c r="C13" s="2"/>
    </row>
    <row r="14" customFormat="false" ht="15" hidden="false" customHeight="false" outlineLevel="0" collapsed="false">
      <c r="A14" s="4" t="s">
        <v>192</v>
      </c>
      <c r="B14" s="4" t="s">
        <v>3</v>
      </c>
      <c r="C14" s="4" t="s">
        <v>47</v>
      </c>
    </row>
    <row r="15" customFormat="false" ht="15" hidden="false" customHeight="false" outlineLevel="0" collapsed="false">
      <c r="A15" s="2" t="s">
        <v>193</v>
      </c>
      <c r="B15" s="19" t="n">
        <v>616000</v>
      </c>
      <c r="C15" s="3" t="s">
        <v>194</v>
      </c>
    </row>
    <row r="16" customFormat="false" ht="15" hidden="false" customHeight="false" outlineLevel="0" collapsed="false">
      <c r="A16" s="2" t="s">
        <v>195</v>
      </c>
      <c r="B16" s="19" t="n">
        <v>610000</v>
      </c>
      <c r="C16" s="3" t="s">
        <v>196</v>
      </c>
    </row>
    <row r="17" customFormat="false" ht="15" hidden="false" customHeight="false" outlineLevel="0" collapsed="false">
      <c r="A17" s="2" t="s">
        <v>197</v>
      </c>
      <c r="B17" s="19" t="n">
        <v>83</v>
      </c>
      <c r="C17" s="3" t="s">
        <v>198</v>
      </c>
    </row>
    <row r="18" customFormat="false" ht="15" hidden="false" customHeight="false" outlineLevel="0" collapsed="false">
      <c r="A18" s="2" t="s">
        <v>199</v>
      </c>
      <c r="B18" s="19" t="n">
        <v>180</v>
      </c>
      <c r="C18" s="3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4" min="3" style="0" width="11"/>
    <col collapsed="false" customWidth="true" hidden="false" outlineLevel="0" max="22" min="5" style="0" width="5"/>
  </cols>
  <sheetData>
    <row r="1" customFormat="false" ht="17.35" hidden="false" customHeight="false" outlineLevel="0" collapsed="false">
      <c r="A1" s="1" t="s">
        <v>201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5" hidden="false" customHeight="false" outlineLevel="0" collapsed="false">
      <c r="A2" s="3" t="s">
        <v>202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Format="false" ht="26.85" hidden="false" customHeight="false" outlineLevel="0" collapsed="false">
      <c r="A4" s="4" t="s">
        <v>203</v>
      </c>
      <c r="B4" s="4" t="s">
        <v>204</v>
      </c>
      <c r="C4" s="4" t="s">
        <v>205</v>
      </c>
      <c r="D4" s="4" t="s">
        <v>206</v>
      </c>
      <c r="E4" s="4" t="s">
        <v>207</v>
      </c>
      <c r="F4" s="4" t="s">
        <v>208</v>
      </c>
      <c r="G4" s="4" t="s">
        <v>209</v>
      </c>
      <c r="H4" s="4" t="s">
        <v>210</v>
      </c>
      <c r="I4" s="4" t="s">
        <v>211</v>
      </c>
      <c r="J4" s="4" t="s">
        <v>212</v>
      </c>
      <c r="K4" s="4" t="s">
        <v>213</v>
      </c>
      <c r="L4" s="4" t="s">
        <v>214</v>
      </c>
      <c r="M4" s="4" t="s">
        <v>215</v>
      </c>
      <c r="N4" s="4" t="s">
        <v>216</v>
      </c>
      <c r="O4" s="4" t="s">
        <v>217</v>
      </c>
      <c r="P4" s="4" t="s">
        <v>218</v>
      </c>
      <c r="Q4" s="4" t="s">
        <v>219</v>
      </c>
      <c r="R4" s="4" t="s">
        <v>220</v>
      </c>
      <c r="S4" s="4" t="s">
        <v>221</v>
      </c>
      <c r="T4" s="4" t="s">
        <v>222</v>
      </c>
      <c r="U4" s="4" t="s">
        <v>223</v>
      </c>
      <c r="V4" s="4" t="s">
        <v>224</v>
      </c>
    </row>
    <row r="5" customFormat="false" ht="15" hidden="false" customHeight="false" outlineLevel="0" collapsed="false">
      <c r="A5" s="44" t="s">
        <v>225</v>
      </c>
      <c r="B5" s="3" t="s">
        <v>226</v>
      </c>
      <c r="C5" s="45" t="n">
        <v>1</v>
      </c>
      <c r="D5" s="45" t="n">
        <v>2</v>
      </c>
      <c r="E5" s="46" t="str">
        <f aca="false">IF(AND(1&gt;=$C5,1&lt;$C5+$D5),"■","")</f>
        <v>■</v>
      </c>
      <c r="F5" s="46" t="str">
        <f aca="false">IF(AND(2&gt;=$C5,2&lt;$C5+$D5),"■","")</f>
        <v>■</v>
      </c>
      <c r="G5" s="46" t="str">
        <f aca="false">IF(AND(3&gt;=$C5,3&lt;$C5+$D5),"■","")</f>
        <v/>
      </c>
      <c r="H5" s="46" t="str">
        <f aca="false">IF(AND(4&gt;=$C5,4&lt;$C5+$D5),"■","")</f>
        <v/>
      </c>
      <c r="I5" s="46" t="str">
        <f aca="false">IF(AND(5&gt;=$C5,5&lt;$C5+$D5),"■","")</f>
        <v/>
      </c>
      <c r="J5" s="46" t="str">
        <f aca="false">IF(AND(6&gt;=$C5,6&lt;$C5+$D5),"■","")</f>
        <v/>
      </c>
      <c r="K5" s="46" t="str">
        <f aca="false">IF(AND(7&gt;=$C5,7&lt;$C5+$D5),"■","")</f>
        <v/>
      </c>
      <c r="L5" s="46" t="str">
        <f aca="false">IF(AND(8&gt;=$C5,8&lt;$C5+$D5),"■","")</f>
        <v/>
      </c>
      <c r="M5" s="46" t="str">
        <f aca="false">IF(AND(9&gt;=$C5,9&lt;$C5+$D5),"■","")</f>
        <v/>
      </c>
      <c r="N5" s="46" t="str">
        <f aca="false">IF(AND(10&gt;=$C5,10&lt;$C5+$D5),"■","")</f>
        <v/>
      </c>
      <c r="O5" s="46" t="str">
        <f aca="false">IF(AND(11&gt;=$C5,11&lt;$C5+$D5),"■","")</f>
        <v/>
      </c>
      <c r="P5" s="46" t="str">
        <f aca="false">IF(AND(12&gt;=$C5,12&lt;$C5+$D5),"■","")</f>
        <v/>
      </c>
      <c r="Q5" s="46" t="str">
        <f aca="false">IF(AND(13&gt;=$C5,13&lt;$C5+$D5),"■","")</f>
        <v/>
      </c>
      <c r="R5" s="46" t="str">
        <f aca="false">IF(AND(14&gt;=$C5,14&lt;$C5+$D5),"■","")</f>
        <v/>
      </c>
      <c r="S5" s="46" t="str">
        <f aca="false">IF(AND(15&gt;=$C5,15&lt;$C5+$D5),"■","")</f>
        <v/>
      </c>
      <c r="T5" s="46" t="str">
        <f aca="false">IF(AND(16&gt;=$C5,16&lt;$C5+$D5),"■","")</f>
        <v/>
      </c>
      <c r="U5" s="46" t="str">
        <f aca="false">IF(AND(17&gt;=$C5,17&lt;$C5+$D5),"■","")</f>
        <v/>
      </c>
      <c r="V5" s="46" t="str">
        <f aca="false">IF(AND(18&gt;=$C5,18&lt;$C5+$D5),"■","")</f>
        <v/>
      </c>
    </row>
    <row r="6" customFormat="false" ht="15" hidden="false" customHeight="false" outlineLevel="0" collapsed="false">
      <c r="A6" s="44" t="s">
        <v>227</v>
      </c>
      <c r="B6" s="3" t="s">
        <v>228</v>
      </c>
      <c r="C6" s="45" t="n">
        <v>2</v>
      </c>
      <c r="D6" s="45" t="n">
        <v>3</v>
      </c>
      <c r="E6" s="46" t="str">
        <f aca="false">IF(AND(1&gt;=$C6,1&lt;$C6+$D6),"■","")</f>
        <v/>
      </c>
      <c r="F6" s="46" t="str">
        <f aca="false">IF(AND(2&gt;=$C6,2&lt;$C6+$D6),"■","")</f>
        <v>■</v>
      </c>
      <c r="G6" s="46" t="str">
        <f aca="false">IF(AND(3&gt;=$C6,3&lt;$C6+$D6),"■","")</f>
        <v>■</v>
      </c>
      <c r="H6" s="46" t="str">
        <f aca="false">IF(AND(4&gt;=$C6,4&lt;$C6+$D6),"■","")</f>
        <v>■</v>
      </c>
      <c r="I6" s="46" t="str">
        <f aca="false">IF(AND(5&gt;=$C6,5&lt;$C6+$D6),"■","")</f>
        <v/>
      </c>
      <c r="J6" s="46" t="str">
        <f aca="false">IF(AND(6&gt;=$C6,6&lt;$C6+$D6),"■","")</f>
        <v/>
      </c>
      <c r="K6" s="46" t="str">
        <f aca="false">IF(AND(7&gt;=$C6,7&lt;$C6+$D6),"■","")</f>
        <v/>
      </c>
      <c r="L6" s="46" t="str">
        <f aca="false">IF(AND(8&gt;=$C6,8&lt;$C6+$D6),"■","")</f>
        <v/>
      </c>
      <c r="M6" s="46" t="str">
        <f aca="false">IF(AND(9&gt;=$C6,9&lt;$C6+$D6),"■","")</f>
        <v/>
      </c>
      <c r="N6" s="46" t="str">
        <f aca="false">IF(AND(10&gt;=$C6,10&lt;$C6+$D6),"■","")</f>
        <v/>
      </c>
      <c r="O6" s="46" t="str">
        <f aca="false">IF(AND(11&gt;=$C6,11&lt;$C6+$D6),"■","")</f>
        <v/>
      </c>
      <c r="P6" s="46" t="str">
        <f aca="false">IF(AND(12&gt;=$C6,12&lt;$C6+$D6),"■","")</f>
        <v/>
      </c>
      <c r="Q6" s="46" t="str">
        <f aca="false">IF(AND(13&gt;=$C6,13&lt;$C6+$D6),"■","")</f>
        <v/>
      </c>
      <c r="R6" s="46" t="str">
        <f aca="false">IF(AND(14&gt;=$C6,14&lt;$C6+$D6),"■","")</f>
        <v/>
      </c>
      <c r="S6" s="46" t="str">
        <f aca="false">IF(AND(15&gt;=$C6,15&lt;$C6+$D6),"■","")</f>
        <v/>
      </c>
      <c r="T6" s="46" t="str">
        <f aca="false">IF(AND(16&gt;=$C6,16&lt;$C6+$D6),"■","")</f>
        <v/>
      </c>
      <c r="U6" s="46" t="str">
        <f aca="false">IF(AND(17&gt;=$C6,17&lt;$C6+$D6),"■","")</f>
        <v/>
      </c>
      <c r="V6" s="46" t="str">
        <f aca="false">IF(AND(18&gt;=$C6,18&lt;$C6+$D6),"■","")</f>
        <v/>
      </c>
    </row>
    <row r="7" customFormat="false" ht="15" hidden="false" customHeight="false" outlineLevel="0" collapsed="false">
      <c r="A7" s="44" t="s">
        <v>229</v>
      </c>
      <c r="B7" s="3" t="s">
        <v>230</v>
      </c>
      <c r="C7" s="45" t="n">
        <v>4</v>
      </c>
      <c r="D7" s="45" t="n">
        <v>5</v>
      </c>
      <c r="E7" s="46" t="str">
        <f aca="false">IF(AND(1&gt;=$C7,1&lt;$C7+$D7),"■","")</f>
        <v/>
      </c>
      <c r="F7" s="46" t="str">
        <f aca="false">IF(AND(2&gt;=$C7,2&lt;$C7+$D7),"■","")</f>
        <v/>
      </c>
      <c r="G7" s="46" t="str">
        <f aca="false">IF(AND(3&gt;=$C7,3&lt;$C7+$D7),"■","")</f>
        <v/>
      </c>
      <c r="H7" s="46" t="str">
        <f aca="false">IF(AND(4&gt;=$C7,4&lt;$C7+$D7),"■","")</f>
        <v>■</v>
      </c>
      <c r="I7" s="46" t="str">
        <f aca="false">IF(AND(5&gt;=$C7,5&lt;$C7+$D7),"■","")</f>
        <v>■</v>
      </c>
      <c r="J7" s="46" t="str">
        <f aca="false">IF(AND(6&gt;=$C7,6&lt;$C7+$D7),"■","")</f>
        <v>■</v>
      </c>
      <c r="K7" s="46" t="str">
        <f aca="false">IF(AND(7&gt;=$C7,7&lt;$C7+$D7),"■","")</f>
        <v>■</v>
      </c>
      <c r="L7" s="46" t="str">
        <f aca="false">IF(AND(8&gt;=$C7,8&lt;$C7+$D7),"■","")</f>
        <v>■</v>
      </c>
      <c r="M7" s="46" t="str">
        <f aca="false">IF(AND(9&gt;=$C7,9&lt;$C7+$D7),"■","")</f>
        <v/>
      </c>
      <c r="N7" s="46" t="str">
        <f aca="false">IF(AND(10&gt;=$C7,10&lt;$C7+$D7),"■","")</f>
        <v/>
      </c>
      <c r="O7" s="46" t="str">
        <f aca="false">IF(AND(11&gt;=$C7,11&lt;$C7+$D7),"■","")</f>
        <v/>
      </c>
      <c r="P7" s="46" t="str">
        <f aca="false">IF(AND(12&gt;=$C7,12&lt;$C7+$D7),"■","")</f>
        <v/>
      </c>
      <c r="Q7" s="46" t="str">
        <f aca="false">IF(AND(13&gt;=$C7,13&lt;$C7+$D7),"■","")</f>
        <v/>
      </c>
      <c r="R7" s="46" t="str">
        <f aca="false">IF(AND(14&gt;=$C7,14&lt;$C7+$D7),"■","")</f>
        <v/>
      </c>
      <c r="S7" s="46" t="str">
        <f aca="false">IF(AND(15&gt;=$C7,15&lt;$C7+$D7),"■","")</f>
        <v/>
      </c>
      <c r="T7" s="46" t="str">
        <f aca="false">IF(AND(16&gt;=$C7,16&lt;$C7+$D7),"■","")</f>
        <v/>
      </c>
      <c r="U7" s="46" t="str">
        <f aca="false">IF(AND(17&gt;=$C7,17&lt;$C7+$D7),"■","")</f>
        <v/>
      </c>
      <c r="V7" s="46" t="str">
        <f aca="false">IF(AND(18&gt;=$C7,18&lt;$C7+$D7),"■","")</f>
        <v/>
      </c>
    </row>
    <row r="8" customFormat="false" ht="15" hidden="false" customHeight="false" outlineLevel="0" collapsed="false">
      <c r="A8" s="44" t="s">
        <v>231</v>
      </c>
      <c r="B8" s="3" t="s">
        <v>232</v>
      </c>
      <c r="C8" s="45" t="n">
        <v>3</v>
      </c>
      <c r="D8" s="45" t="n">
        <v>1</v>
      </c>
      <c r="E8" s="46" t="str">
        <f aca="false">IF(AND(1&gt;=$C8,1&lt;$C8+$D8),"■","")</f>
        <v/>
      </c>
      <c r="F8" s="46" t="str">
        <f aca="false">IF(AND(2&gt;=$C8,2&lt;$C8+$D8),"■","")</f>
        <v/>
      </c>
      <c r="G8" s="46" t="str">
        <f aca="false">IF(AND(3&gt;=$C8,3&lt;$C8+$D8),"■","")</f>
        <v>■</v>
      </c>
      <c r="H8" s="46" t="str">
        <f aca="false">IF(AND(4&gt;=$C8,4&lt;$C8+$D8),"■","")</f>
        <v/>
      </c>
      <c r="I8" s="46" t="str">
        <f aca="false">IF(AND(5&gt;=$C8,5&lt;$C8+$D8),"■","")</f>
        <v/>
      </c>
      <c r="J8" s="46" t="str">
        <f aca="false">IF(AND(6&gt;=$C8,6&lt;$C8+$D8),"■","")</f>
        <v/>
      </c>
      <c r="K8" s="46" t="str">
        <f aca="false">IF(AND(7&gt;=$C8,7&lt;$C8+$D8),"■","")</f>
        <v/>
      </c>
      <c r="L8" s="46" t="str">
        <f aca="false">IF(AND(8&gt;=$C8,8&lt;$C8+$D8),"■","")</f>
        <v/>
      </c>
      <c r="M8" s="46" t="str">
        <f aca="false">IF(AND(9&gt;=$C8,9&lt;$C8+$D8),"■","")</f>
        <v/>
      </c>
      <c r="N8" s="46" t="str">
        <f aca="false">IF(AND(10&gt;=$C8,10&lt;$C8+$D8),"■","")</f>
        <v/>
      </c>
      <c r="O8" s="46" t="str">
        <f aca="false">IF(AND(11&gt;=$C8,11&lt;$C8+$D8),"■","")</f>
        <v/>
      </c>
      <c r="P8" s="46" t="str">
        <f aca="false">IF(AND(12&gt;=$C8,12&lt;$C8+$D8),"■","")</f>
        <v/>
      </c>
      <c r="Q8" s="46" t="str">
        <f aca="false">IF(AND(13&gt;=$C8,13&lt;$C8+$D8),"■","")</f>
        <v/>
      </c>
      <c r="R8" s="46" t="str">
        <f aca="false">IF(AND(14&gt;=$C8,14&lt;$C8+$D8),"■","")</f>
        <v/>
      </c>
      <c r="S8" s="46" t="str">
        <f aca="false">IF(AND(15&gt;=$C8,15&lt;$C8+$D8),"■","")</f>
        <v/>
      </c>
      <c r="T8" s="46" t="str">
        <f aca="false">IF(AND(16&gt;=$C8,16&lt;$C8+$D8),"■","")</f>
        <v/>
      </c>
      <c r="U8" s="46" t="str">
        <f aca="false">IF(AND(17&gt;=$C8,17&lt;$C8+$D8),"■","")</f>
        <v/>
      </c>
      <c r="V8" s="46" t="str">
        <f aca="false">IF(AND(18&gt;=$C8,18&lt;$C8+$D8),"■","")</f>
        <v/>
      </c>
    </row>
    <row r="9" customFormat="false" ht="15" hidden="false" customHeight="false" outlineLevel="0" collapsed="false">
      <c r="A9" s="44" t="s">
        <v>233</v>
      </c>
      <c r="B9" s="3" t="s">
        <v>234</v>
      </c>
      <c r="C9" s="45" t="n">
        <v>5</v>
      </c>
      <c r="D9" s="45" t="n">
        <v>3</v>
      </c>
      <c r="E9" s="46" t="str">
        <f aca="false">IF(AND(1&gt;=$C9,1&lt;$C9+$D9),"■","")</f>
        <v/>
      </c>
      <c r="F9" s="46" t="str">
        <f aca="false">IF(AND(2&gt;=$C9,2&lt;$C9+$D9),"■","")</f>
        <v/>
      </c>
      <c r="G9" s="46" t="str">
        <f aca="false">IF(AND(3&gt;=$C9,3&lt;$C9+$D9),"■","")</f>
        <v/>
      </c>
      <c r="H9" s="46" t="str">
        <f aca="false">IF(AND(4&gt;=$C9,4&lt;$C9+$D9),"■","")</f>
        <v/>
      </c>
      <c r="I9" s="46" t="str">
        <f aca="false">IF(AND(5&gt;=$C9,5&lt;$C9+$D9),"■","")</f>
        <v>■</v>
      </c>
      <c r="J9" s="46" t="str">
        <f aca="false">IF(AND(6&gt;=$C9,6&lt;$C9+$D9),"■","")</f>
        <v>■</v>
      </c>
      <c r="K9" s="46" t="str">
        <f aca="false">IF(AND(7&gt;=$C9,7&lt;$C9+$D9),"■","")</f>
        <v>■</v>
      </c>
      <c r="L9" s="46" t="str">
        <f aca="false">IF(AND(8&gt;=$C9,8&lt;$C9+$D9),"■","")</f>
        <v/>
      </c>
      <c r="M9" s="46" t="str">
        <f aca="false">IF(AND(9&gt;=$C9,9&lt;$C9+$D9),"■","")</f>
        <v/>
      </c>
      <c r="N9" s="46" t="str">
        <f aca="false">IF(AND(10&gt;=$C9,10&lt;$C9+$D9),"■","")</f>
        <v/>
      </c>
      <c r="O9" s="46" t="str">
        <f aca="false">IF(AND(11&gt;=$C9,11&lt;$C9+$D9),"■","")</f>
        <v/>
      </c>
      <c r="P9" s="46" t="str">
        <f aca="false">IF(AND(12&gt;=$C9,12&lt;$C9+$D9),"■","")</f>
        <v/>
      </c>
      <c r="Q9" s="46" t="str">
        <f aca="false">IF(AND(13&gt;=$C9,13&lt;$C9+$D9),"■","")</f>
        <v/>
      </c>
      <c r="R9" s="46" t="str">
        <f aca="false">IF(AND(14&gt;=$C9,14&lt;$C9+$D9),"■","")</f>
        <v/>
      </c>
      <c r="S9" s="46" t="str">
        <f aca="false">IF(AND(15&gt;=$C9,15&lt;$C9+$D9),"■","")</f>
        <v/>
      </c>
      <c r="T9" s="46" t="str">
        <f aca="false">IF(AND(16&gt;=$C9,16&lt;$C9+$D9),"■","")</f>
        <v/>
      </c>
      <c r="U9" s="46" t="str">
        <f aca="false">IF(AND(17&gt;=$C9,17&lt;$C9+$D9),"■","")</f>
        <v/>
      </c>
      <c r="V9" s="46" t="str">
        <f aca="false">IF(AND(18&gt;=$C9,18&lt;$C9+$D9),"■","")</f>
        <v/>
      </c>
    </row>
    <row r="10" customFormat="false" ht="15" hidden="false" customHeight="false" outlineLevel="0" collapsed="false">
      <c r="A10" s="44" t="s">
        <v>235</v>
      </c>
      <c r="B10" s="3" t="s">
        <v>236</v>
      </c>
      <c r="C10" s="45" t="n">
        <v>8</v>
      </c>
      <c r="D10" s="45" t="n">
        <v>1</v>
      </c>
      <c r="E10" s="46" t="str">
        <f aca="false">IF(AND(1&gt;=$C10,1&lt;$C10+$D10),"■","")</f>
        <v/>
      </c>
      <c r="F10" s="46" t="str">
        <f aca="false">IF(AND(2&gt;=$C10,2&lt;$C10+$D10),"■","")</f>
        <v/>
      </c>
      <c r="G10" s="46" t="str">
        <f aca="false">IF(AND(3&gt;=$C10,3&lt;$C10+$D10),"■","")</f>
        <v/>
      </c>
      <c r="H10" s="46" t="str">
        <f aca="false">IF(AND(4&gt;=$C10,4&lt;$C10+$D10),"■","")</f>
        <v/>
      </c>
      <c r="I10" s="46" t="str">
        <f aca="false">IF(AND(5&gt;=$C10,5&lt;$C10+$D10),"■","")</f>
        <v/>
      </c>
      <c r="J10" s="46" t="str">
        <f aca="false">IF(AND(6&gt;=$C10,6&lt;$C10+$D10),"■","")</f>
        <v/>
      </c>
      <c r="K10" s="46" t="str">
        <f aca="false">IF(AND(7&gt;=$C10,7&lt;$C10+$D10),"■","")</f>
        <v/>
      </c>
      <c r="L10" s="46" t="str">
        <f aca="false">IF(AND(8&gt;=$C10,8&lt;$C10+$D10),"■","")</f>
        <v>■</v>
      </c>
      <c r="M10" s="46" t="str">
        <f aca="false">IF(AND(9&gt;=$C10,9&lt;$C10+$D10),"■","")</f>
        <v/>
      </c>
      <c r="N10" s="46" t="str">
        <f aca="false">IF(AND(10&gt;=$C10,10&lt;$C10+$D10),"■","")</f>
        <v/>
      </c>
      <c r="O10" s="46" t="str">
        <f aca="false">IF(AND(11&gt;=$C10,11&lt;$C10+$D10),"■","")</f>
        <v/>
      </c>
      <c r="P10" s="46" t="str">
        <f aca="false">IF(AND(12&gt;=$C10,12&lt;$C10+$D10),"■","")</f>
        <v/>
      </c>
      <c r="Q10" s="46" t="str">
        <f aca="false">IF(AND(13&gt;=$C10,13&lt;$C10+$D10),"■","")</f>
        <v/>
      </c>
      <c r="R10" s="46" t="str">
        <f aca="false">IF(AND(14&gt;=$C10,14&lt;$C10+$D10),"■","")</f>
        <v/>
      </c>
      <c r="S10" s="46" t="str">
        <f aca="false">IF(AND(15&gt;=$C10,15&lt;$C10+$D10),"■","")</f>
        <v/>
      </c>
      <c r="T10" s="46" t="str">
        <f aca="false">IF(AND(16&gt;=$C10,16&lt;$C10+$D10),"■","")</f>
        <v/>
      </c>
      <c r="U10" s="46" t="str">
        <f aca="false">IF(AND(17&gt;=$C10,17&lt;$C10+$D10),"■","")</f>
        <v/>
      </c>
      <c r="V10" s="46" t="str">
        <f aca="false">IF(AND(18&gt;=$C10,18&lt;$C10+$D10),"■","")</f>
        <v/>
      </c>
    </row>
    <row r="11" customFormat="false" ht="15" hidden="false" customHeight="false" outlineLevel="0" collapsed="false">
      <c r="A11" s="44" t="s">
        <v>237</v>
      </c>
      <c r="B11" s="3" t="s">
        <v>238</v>
      </c>
      <c r="C11" s="45" t="n">
        <v>8</v>
      </c>
      <c r="D11" s="45" t="n">
        <v>2</v>
      </c>
      <c r="E11" s="46" t="str">
        <f aca="false">IF(AND(1&gt;=$C11,1&lt;$C11+$D11),"■","")</f>
        <v/>
      </c>
      <c r="F11" s="46" t="str">
        <f aca="false">IF(AND(2&gt;=$C11,2&lt;$C11+$D11),"■","")</f>
        <v/>
      </c>
      <c r="G11" s="46" t="str">
        <f aca="false">IF(AND(3&gt;=$C11,3&lt;$C11+$D11),"■","")</f>
        <v/>
      </c>
      <c r="H11" s="46" t="str">
        <f aca="false">IF(AND(4&gt;=$C11,4&lt;$C11+$D11),"■","")</f>
        <v/>
      </c>
      <c r="I11" s="46" t="str">
        <f aca="false">IF(AND(5&gt;=$C11,5&lt;$C11+$D11),"■","")</f>
        <v/>
      </c>
      <c r="J11" s="46" t="str">
        <f aca="false">IF(AND(6&gt;=$C11,6&lt;$C11+$D11),"■","")</f>
        <v/>
      </c>
      <c r="K11" s="46" t="str">
        <f aca="false">IF(AND(7&gt;=$C11,7&lt;$C11+$D11),"■","")</f>
        <v/>
      </c>
      <c r="L11" s="46" t="str">
        <f aca="false">IF(AND(8&gt;=$C11,8&lt;$C11+$D11),"■","")</f>
        <v>■</v>
      </c>
      <c r="M11" s="46" t="str">
        <f aca="false">IF(AND(9&gt;=$C11,9&lt;$C11+$D11),"■","")</f>
        <v>■</v>
      </c>
      <c r="N11" s="46" t="str">
        <f aca="false">IF(AND(10&gt;=$C11,10&lt;$C11+$D11),"■","")</f>
        <v/>
      </c>
      <c r="O11" s="46" t="str">
        <f aca="false">IF(AND(11&gt;=$C11,11&lt;$C11+$D11),"■","")</f>
        <v/>
      </c>
      <c r="P11" s="46" t="str">
        <f aca="false">IF(AND(12&gt;=$C11,12&lt;$C11+$D11),"■","")</f>
        <v/>
      </c>
      <c r="Q11" s="46" t="str">
        <f aca="false">IF(AND(13&gt;=$C11,13&lt;$C11+$D11),"■","")</f>
        <v/>
      </c>
      <c r="R11" s="46" t="str">
        <f aca="false">IF(AND(14&gt;=$C11,14&lt;$C11+$D11),"■","")</f>
        <v/>
      </c>
      <c r="S11" s="46" t="str">
        <f aca="false">IF(AND(15&gt;=$C11,15&lt;$C11+$D11),"■","")</f>
        <v/>
      </c>
      <c r="T11" s="46" t="str">
        <f aca="false">IF(AND(16&gt;=$C11,16&lt;$C11+$D11),"■","")</f>
        <v/>
      </c>
      <c r="U11" s="46" t="str">
        <f aca="false">IF(AND(17&gt;=$C11,17&lt;$C11+$D11),"■","")</f>
        <v/>
      </c>
      <c r="V11" s="46" t="str">
        <f aca="false">IF(AND(18&gt;=$C11,18&lt;$C11+$D11),"■","")</f>
        <v/>
      </c>
    </row>
    <row r="12" customFormat="false" ht="15" hidden="false" customHeight="false" outlineLevel="0" collapsed="false">
      <c r="A12" s="15" t="s">
        <v>239</v>
      </c>
      <c r="B12" s="3" t="s">
        <v>240</v>
      </c>
      <c r="C12" s="45" t="n">
        <v>10</v>
      </c>
      <c r="D12" s="45" t="n">
        <v>1</v>
      </c>
      <c r="E12" s="46" t="str">
        <f aca="false">IF(AND(1&gt;=$C12,1&lt;$C12+$D12),"■","")</f>
        <v/>
      </c>
      <c r="F12" s="46" t="str">
        <f aca="false">IF(AND(2&gt;=$C12,2&lt;$C12+$D12),"■","")</f>
        <v/>
      </c>
      <c r="G12" s="46" t="str">
        <f aca="false">IF(AND(3&gt;=$C12,3&lt;$C12+$D12),"■","")</f>
        <v/>
      </c>
      <c r="H12" s="46" t="str">
        <f aca="false">IF(AND(4&gt;=$C12,4&lt;$C12+$D12),"■","")</f>
        <v/>
      </c>
      <c r="I12" s="46" t="str">
        <f aca="false">IF(AND(5&gt;=$C12,5&lt;$C12+$D12),"■","")</f>
        <v/>
      </c>
      <c r="J12" s="46" t="str">
        <f aca="false">IF(AND(6&gt;=$C12,6&lt;$C12+$D12),"■","")</f>
        <v/>
      </c>
      <c r="K12" s="46" t="str">
        <f aca="false">IF(AND(7&gt;=$C12,7&lt;$C12+$D12),"■","")</f>
        <v/>
      </c>
      <c r="L12" s="46" t="str">
        <f aca="false">IF(AND(8&gt;=$C12,8&lt;$C12+$D12),"■","")</f>
        <v/>
      </c>
      <c r="M12" s="46" t="str">
        <f aca="false">IF(AND(9&gt;=$C12,9&lt;$C12+$D12),"■","")</f>
        <v/>
      </c>
      <c r="N12" s="46" t="str">
        <f aca="false">IF(AND(10&gt;=$C12,10&lt;$C12+$D12),"■","")</f>
        <v>■</v>
      </c>
      <c r="O12" s="46" t="str">
        <f aca="false">IF(AND(11&gt;=$C12,11&lt;$C12+$D12),"■","")</f>
        <v/>
      </c>
      <c r="P12" s="46" t="str">
        <f aca="false">IF(AND(12&gt;=$C12,12&lt;$C12+$D12),"■","")</f>
        <v/>
      </c>
      <c r="Q12" s="46" t="str">
        <f aca="false">IF(AND(13&gt;=$C12,13&lt;$C12+$D12),"■","")</f>
        <v/>
      </c>
      <c r="R12" s="46" t="str">
        <f aca="false">IF(AND(14&gt;=$C12,14&lt;$C12+$D12),"■","")</f>
        <v/>
      </c>
      <c r="S12" s="46" t="str">
        <f aca="false">IF(AND(15&gt;=$C12,15&lt;$C12+$D12),"■","")</f>
        <v/>
      </c>
      <c r="T12" s="46" t="str">
        <f aca="false">IF(AND(16&gt;=$C12,16&lt;$C12+$D12),"■","")</f>
        <v/>
      </c>
      <c r="U12" s="46" t="str">
        <f aca="false">IF(AND(17&gt;=$C12,17&lt;$C12+$D12),"■","")</f>
        <v/>
      </c>
      <c r="V12" s="46" t="str">
        <f aca="false">IF(AND(18&gt;=$C12,18&lt;$C12+$D12),"■","")</f>
        <v/>
      </c>
    </row>
    <row r="13" customFormat="false" ht="15" hidden="false" customHeight="false" outlineLevel="0" collapsed="false">
      <c r="A13" s="44" t="s">
        <v>241</v>
      </c>
      <c r="B13" s="3" t="s">
        <v>242</v>
      </c>
      <c r="C13" s="45" t="n">
        <v>11</v>
      </c>
      <c r="D13" s="45" t="n">
        <v>8</v>
      </c>
      <c r="E13" s="46" t="str">
        <f aca="false">IF(AND(1&gt;=$C13,1&lt;$C13+$D13),"■","")</f>
        <v/>
      </c>
      <c r="F13" s="46" t="str">
        <f aca="false">IF(AND(2&gt;=$C13,2&lt;$C13+$D13),"■","")</f>
        <v/>
      </c>
      <c r="G13" s="46" t="str">
        <f aca="false">IF(AND(3&gt;=$C13,3&lt;$C13+$D13),"■","")</f>
        <v/>
      </c>
      <c r="H13" s="46" t="str">
        <f aca="false">IF(AND(4&gt;=$C13,4&lt;$C13+$D13),"■","")</f>
        <v/>
      </c>
      <c r="I13" s="46" t="str">
        <f aca="false">IF(AND(5&gt;=$C13,5&lt;$C13+$D13),"■","")</f>
        <v/>
      </c>
      <c r="J13" s="46" t="str">
        <f aca="false">IF(AND(6&gt;=$C13,6&lt;$C13+$D13),"■","")</f>
        <v/>
      </c>
      <c r="K13" s="46" t="str">
        <f aca="false">IF(AND(7&gt;=$C13,7&lt;$C13+$D13),"■","")</f>
        <v/>
      </c>
      <c r="L13" s="46" t="str">
        <f aca="false">IF(AND(8&gt;=$C13,8&lt;$C13+$D13),"■","")</f>
        <v/>
      </c>
      <c r="M13" s="46" t="str">
        <f aca="false">IF(AND(9&gt;=$C13,9&lt;$C13+$D13),"■","")</f>
        <v/>
      </c>
      <c r="N13" s="46" t="str">
        <f aca="false">IF(AND(10&gt;=$C13,10&lt;$C13+$D13),"■","")</f>
        <v/>
      </c>
      <c r="O13" s="46" t="str">
        <f aca="false">IF(AND(11&gt;=$C13,11&lt;$C13+$D13),"■","")</f>
        <v>■</v>
      </c>
      <c r="P13" s="46" t="str">
        <f aca="false">IF(AND(12&gt;=$C13,12&lt;$C13+$D13),"■","")</f>
        <v>■</v>
      </c>
      <c r="Q13" s="46" t="str">
        <f aca="false">IF(AND(13&gt;=$C13,13&lt;$C13+$D13),"■","")</f>
        <v>■</v>
      </c>
      <c r="R13" s="46" t="str">
        <f aca="false">IF(AND(14&gt;=$C13,14&lt;$C13+$D13),"■","")</f>
        <v>■</v>
      </c>
      <c r="S13" s="46" t="str">
        <f aca="false">IF(AND(15&gt;=$C13,15&lt;$C13+$D13),"■","")</f>
        <v>■</v>
      </c>
      <c r="T13" s="46" t="str">
        <f aca="false">IF(AND(16&gt;=$C13,16&lt;$C13+$D13),"■","")</f>
        <v>■</v>
      </c>
      <c r="U13" s="46" t="str">
        <f aca="false">IF(AND(17&gt;=$C13,17&lt;$C13+$D13),"■","")</f>
        <v>■</v>
      </c>
      <c r="V13" s="46" t="str">
        <f aca="false">IF(AND(18&gt;=$C13,18&lt;$C13+$D13),"■","")</f>
        <v>■</v>
      </c>
    </row>
    <row r="14" customFormat="false" ht="15" hidden="false" customHeight="false" outlineLevel="0" collapsed="false">
      <c r="A14" s="44" t="s">
        <v>243</v>
      </c>
      <c r="B14" s="3" t="s">
        <v>244</v>
      </c>
      <c r="C14" s="45" t="n">
        <v>13</v>
      </c>
      <c r="D14" s="45" t="n">
        <v>5</v>
      </c>
      <c r="E14" s="46" t="str">
        <f aca="false">IF(AND(1&gt;=$C14,1&lt;$C14+$D14),"■","")</f>
        <v/>
      </c>
      <c r="F14" s="46" t="str">
        <f aca="false">IF(AND(2&gt;=$C14,2&lt;$C14+$D14),"■","")</f>
        <v/>
      </c>
      <c r="G14" s="46" t="str">
        <f aca="false">IF(AND(3&gt;=$C14,3&lt;$C14+$D14),"■","")</f>
        <v/>
      </c>
      <c r="H14" s="46" t="str">
        <f aca="false">IF(AND(4&gt;=$C14,4&lt;$C14+$D14),"■","")</f>
        <v/>
      </c>
      <c r="I14" s="46" t="str">
        <f aca="false">IF(AND(5&gt;=$C14,5&lt;$C14+$D14),"■","")</f>
        <v/>
      </c>
      <c r="J14" s="46" t="str">
        <f aca="false">IF(AND(6&gt;=$C14,6&lt;$C14+$D14),"■","")</f>
        <v/>
      </c>
      <c r="K14" s="46" t="str">
        <f aca="false">IF(AND(7&gt;=$C14,7&lt;$C14+$D14),"■","")</f>
        <v/>
      </c>
      <c r="L14" s="46" t="str">
        <f aca="false">IF(AND(8&gt;=$C14,8&lt;$C14+$D14),"■","")</f>
        <v/>
      </c>
      <c r="M14" s="46" t="str">
        <f aca="false">IF(AND(9&gt;=$C14,9&lt;$C14+$D14),"■","")</f>
        <v/>
      </c>
      <c r="N14" s="46" t="str">
        <f aca="false">IF(AND(10&gt;=$C14,10&lt;$C14+$D14),"■","")</f>
        <v/>
      </c>
      <c r="O14" s="46" t="str">
        <f aca="false">IF(AND(11&gt;=$C14,11&lt;$C14+$D14),"■","")</f>
        <v/>
      </c>
      <c r="P14" s="46" t="str">
        <f aca="false">IF(AND(12&gt;=$C14,12&lt;$C14+$D14),"■","")</f>
        <v/>
      </c>
      <c r="Q14" s="46" t="str">
        <f aca="false">IF(AND(13&gt;=$C14,13&lt;$C14+$D14),"■","")</f>
        <v>■</v>
      </c>
      <c r="R14" s="46" t="str">
        <f aca="false">IF(AND(14&gt;=$C14,14&lt;$C14+$D14),"■","")</f>
        <v>■</v>
      </c>
      <c r="S14" s="46" t="str">
        <f aca="false">IF(AND(15&gt;=$C14,15&lt;$C14+$D14),"■","")</f>
        <v>■</v>
      </c>
      <c r="T14" s="46" t="str">
        <f aca="false">IF(AND(16&gt;=$C14,16&lt;$C14+$D14),"■","")</f>
        <v>■</v>
      </c>
      <c r="U14" s="46" t="str">
        <f aca="false">IF(AND(17&gt;=$C14,17&lt;$C14+$D14),"■","")</f>
        <v>■</v>
      </c>
      <c r="V14" s="46" t="str">
        <f aca="false">IF(AND(18&gt;=$C14,18&lt;$C14+$D14),"■","")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56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1" t="s">
        <v>245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246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4" t="s">
        <v>247</v>
      </c>
      <c r="B4" s="4" t="s">
        <v>248</v>
      </c>
      <c r="C4" s="4" t="s">
        <v>249</v>
      </c>
      <c r="D4" s="4" t="s">
        <v>250</v>
      </c>
      <c r="E4" s="4" t="s">
        <v>251</v>
      </c>
      <c r="F4" s="4" t="s">
        <v>252</v>
      </c>
      <c r="G4" s="4" t="s">
        <v>253</v>
      </c>
      <c r="H4" s="4" t="s">
        <v>254</v>
      </c>
    </row>
    <row r="5" customFormat="false" ht="15" hidden="false" customHeight="false" outlineLevel="0" collapsed="false">
      <c r="A5" s="47" t="s">
        <v>255</v>
      </c>
      <c r="B5" s="47" t="s">
        <v>256</v>
      </c>
      <c r="C5" s="48" t="s">
        <v>257</v>
      </c>
      <c r="D5" s="47" t="s">
        <v>258</v>
      </c>
      <c r="E5" s="47" t="s">
        <v>259</v>
      </c>
      <c r="F5" s="49"/>
      <c r="G5" s="47" t="s">
        <v>260</v>
      </c>
      <c r="H5" s="47" t="s">
        <v>261</v>
      </c>
    </row>
    <row r="6" customFormat="false" ht="26.85" hidden="false" customHeight="false" outlineLevel="0" collapsed="false">
      <c r="A6" s="47" t="s">
        <v>262</v>
      </c>
      <c r="B6" s="47" t="s">
        <v>263</v>
      </c>
      <c r="C6" s="48" t="s">
        <v>264</v>
      </c>
      <c r="D6" s="47" t="s">
        <v>265</v>
      </c>
      <c r="E6" s="47" t="s">
        <v>266</v>
      </c>
      <c r="F6" s="49"/>
      <c r="G6" s="47" t="s">
        <v>267</v>
      </c>
      <c r="H6" s="47" t="s">
        <v>268</v>
      </c>
    </row>
    <row r="7" customFormat="false" ht="15" hidden="false" customHeight="false" outlineLevel="0" collapsed="false">
      <c r="A7" s="47" t="s">
        <v>269</v>
      </c>
      <c r="B7" s="47" t="s">
        <v>270</v>
      </c>
      <c r="C7" s="48" t="s">
        <v>271</v>
      </c>
      <c r="D7" s="47" t="s">
        <v>265</v>
      </c>
      <c r="E7" s="47" t="s">
        <v>272</v>
      </c>
      <c r="F7" s="49"/>
      <c r="G7" s="47" t="s">
        <v>273</v>
      </c>
      <c r="H7" s="47" t="s">
        <v>274</v>
      </c>
    </row>
    <row r="8" customFormat="false" ht="15" hidden="false" customHeight="false" outlineLevel="0" collapsed="false">
      <c r="A8" s="47" t="s">
        <v>275</v>
      </c>
      <c r="B8" s="47" t="s">
        <v>276</v>
      </c>
      <c r="C8" s="48" t="s">
        <v>277</v>
      </c>
      <c r="D8" s="47" t="s">
        <v>278</v>
      </c>
      <c r="E8" s="47" t="s">
        <v>279</v>
      </c>
      <c r="F8" s="49"/>
      <c r="G8" s="47" t="s">
        <v>280</v>
      </c>
      <c r="H8" s="47" t="s">
        <v>281</v>
      </c>
    </row>
    <row r="9" customFormat="false" ht="15" hidden="false" customHeight="false" outlineLevel="0" collapsed="false">
      <c r="A9" s="47" t="s">
        <v>282</v>
      </c>
      <c r="B9" s="47" t="s">
        <v>283</v>
      </c>
      <c r="C9" s="48" t="s">
        <v>284</v>
      </c>
      <c r="D9" s="47" t="s">
        <v>285</v>
      </c>
      <c r="E9" s="47" t="s">
        <v>286</v>
      </c>
      <c r="F9" s="49"/>
      <c r="G9" s="47" t="s">
        <v>287</v>
      </c>
      <c r="H9" s="47" t="s">
        <v>288</v>
      </c>
    </row>
  </sheetData>
  <hyperlinks>
    <hyperlink ref="C5" r:id="rId1" display="https://emiwa.itch.io/home"/>
    <hyperlink ref="C6" r:id="rId2" display="https://store.steampowered.com/app/2887460/diorama/"/>
    <hyperlink ref="C7" r:id="rId3" display="https://store.steampowered.com/app/2198150/Tiny_Glade/"/>
    <hyperlink ref="C8" r:id="rId4" display="https://store.steampowered.com/app/1291340/Townscaper/"/>
    <hyperlink ref="C9" r:id="rId5" display="https://store.steampowered.com/app/1135690/Unpacking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289</v>
      </c>
    </row>
    <row r="2" customFormat="false" ht="15" hidden="false" customHeight="false" outlineLevel="0" collapsed="false">
      <c r="A2" s="44" t="s">
        <v>290</v>
      </c>
    </row>
    <row r="3" customFormat="false" ht="15" hidden="false" customHeight="false" outlineLevel="0" collapsed="false">
      <c r="A3" s="44" t="s">
        <v>291</v>
      </c>
    </row>
    <row r="4" customFormat="false" ht="15" hidden="false" customHeight="false" outlineLevel="0" collapsed="false">
      <c r="A4" s="44" t="s">
        <v>292</v>
      </c>
    </row>
    <row r="5" customFormat="false" ht="15" hidden="false" customHeight="false" outlineLevel="0" collapsed="false">
      <c r="A5" s="44" t="s">
        <v>293</v>
      </c>
    </row>
    <row r="6" customFormat="false" ht="15" hidden="false" customHeight="false" outlineLevel="0" collapsed="false">
      <c r="A6" s="44"/>
    </row>
    <row r="7" customFormat="false" ht="15" hidden="false" customHeight="false" outlineLevel="0" collapsed="false">
      <c r="A7" s="3" t="s">
        <v>294</v>
      </c>
    </row>
    <row r="8" customFormat="false" ht="15" hidden="false" customHeight="false" outlineLevel="0" collapsed="false">
      <c r="A8" s="3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2026-09-23T06:20:44Z</dcterms:created>
  <dc:creator>openpyxl</dc:creator>
  <dc:description/>
  <dc:language>en-US</dc:language>
  <cp:lastModifiedBy/>
  <dcterms:modified xsi:type="dcterms:W3CDTF">2026-09-23T06:20:44Z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