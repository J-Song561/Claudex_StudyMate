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Development Cost" sheetId="3" state="visible" r:id="rId5"/>
    <sheet name="Revenue" sheetId="4" state="visible" r:id="rId6"/>
    <sheet name="P&amp;L &amp; Break-even" sheetId="5" state="visible" r:id="rId7"/>
    <sheet name="Market Estimation" sheetId="6" state="visible" r:id="rId8"/>
    <sheet name="Roadmap" sheetId="7" state="visible" r:id="rId9"/>
    <sheet name="Comparable Games" sheetId="8" state="visible" r:id="rId10"/>
    <sheet name="How to us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<sst xmlns="http://schemas.openxmlformats.org/spreadsheetml/2006/main" count="478" uniqueCount="304">
  <si>
    <t xml:space="preserve">MoneyWise — Financial Model Summary (for Pitchdeck)</t>
  </si>
  <si>
    <t xml:space="preserve">Team 7 · Intro to Game Planning 2026-2 · Budget from course sheet · All values USD · Everything here is calculated — edit the Assumptions sheet</t>
  </si>
  <si>
    <t xml:space="preserve">Pricing (Price slide)</t>
  </si>
  <si>
    <t xml:space="preserve">Value</t>
  </si>
  <si>
    <t xml:space="preserve">Core game (web + mobile)</t>
  </si>
  <si>
    <t xml:space="preserve">Free</t>
  </si>
  <si>
    <t xml:space="preserve">Premium scenario pack (IAP)</t>
  </si>
  <si>
    <t xml:space="preserve">B2B classroom / institution license (Base, per year)</t>
  </si>
  <si>
    <t xml:space="preserve">Production budget</t>
  </si>
  <si>
    <t xml:space="preserve">Planned development + launch cost</t>
  </si>
  <si>
    <t xml:space="preserve">Scenario comparison (Gross Revenue &amp; Targets slides)</t>
  </si>
  <si>
    <t xml:space="preserve">Low</t>
  </si>
  <si>
    <t xml:space="preserve">Base</t>
  </si>
  <si>
    <t xml:space="preserve">High</t>
  </si>
  <si>
    <t xml:space="preserve">Unit</t>
  </si>
  <si>
    <t xml:space="preserve">Players — Year 1</t>
  </si>
  <si>
    <t xml:space="preserve">players</t>
  </si>
  <si>
    <t xml:space="preserve">Paying players — Year 1</t>
  </si>
  <si>
    <t xml:space="preserve">B2B licenses — Year 1</t>
  </si>
  <si>
    <t xml:space="preserve">licenses</t>
  </si>
  <si>
    <t xml:space="preserve">Gross revenue — Year 1</t>
  </si>
  <si>
    <t xml:space="preserve">USD</t>
  </si>
  <si>
    <t xml:space="preserve">Gross revenue — Year 2</t>
  </si>
  <si>
    <t xml:space="preserve">Gross revenue — Year 3</t>
  </si>
  <si>
    <t xml:space="preserve">Gross revenue — 3 years total</t>
  </si>
  <si>
    <t xml:space="preserve">Net revenue — 3 years total</t>
  </si>
  <si>
    <t xml:space="preserve">Net profit incl. development — 3 years</t>
  </si>
  <si>
    <t xml:space="preserve">ROI after 3 years</t>
  </si>
  <si>
    <t xml:space="preserve">%</t>
  </si>
  <si>
    <t xml:space="preserve">NPV of 3 years</t>
  </si>
  <si>
    <t xml:space="preserve">Break-even</t>
  </si>
  <si>
    <t xml:space="preserve">Revenue mix — Base, 3 years (Gross Revenue slide)</t>
  </si>
  <si>
    <t xml:space="preserve">% of gross</t>
  </si>
  <si>
    <t xml:space="preserve">Scenario packs (IAP)</t>
  </si>
  <si>
    <t xml:space="preserve">Rewarded web ads</t>
  </si>
  <si>
    <t xml:space="preserve">B2B licenses</t>
  </si>
  <si>
    <t xml:space="preserve">Total gross</t>
  </si>
  <si>
    <t xml:space="preserve">Budget split (Development Cost slide)</t>
  </si>
  <si>
    <t xml:space="preserve">% of budget</t>
  </si>
  <si>
    <t xml:space="preserve">Team (personnel)</t>
  </si>
  <si>
    <t xml:space="preserve">Tools, legal &amp; marketing</t>
  </si>
  <si>
    <t xml:space="preserve">Contingency</t>
  </si>
  <si>
    <t xml:space="preserve">MoneyWise — Key Assumptions (edit blue cells only)</t>
  </si>
  <si>
    <t xml:space="preserve">Blue = input you can change · Yellow = key assumption to defend in the pitch · All money in USD</t>
  </si>
  <si>
    <t xml:space="preserve">General parameter</t>
  </si>
  <si>
    <t xml:space="preserve">Note / source</t>
  </si>
  <si>
    <t xml:space="preserve">From course sheet 'List of Groups', Team 7 budget</t>
  </si>
  <si>
    <t xml:space="preserve">Development duration</t>
  </si>
  <si>
    <t xml:space="preserve">months</t>
  </si>
  <si>
    <t xml:space="preserve">Pre-production → launch, see Roadmap</t>
  </si>
  <si>
    <t xml:space="preserve">Scenario pack price (IAP)</t>
  </si>
  <si>
    <t xml:space="preserve">Assumption: typical low-tier mobile IAP price point</t>
  </si>
  <si>
    <t xml:space="preserve">itch.io revenue share</t>
  </si>
  <si>
    <t xml:space="preserve">itch.io default revenue share is 10% (adjustable by dev)</t>
  </si>
  <si>
    <t xml:space="preserve">App Store / Google Play fee</t>
  </si>
  <si>
    <t xml:space="preserve">Small-business programs of Apple &amp; Google: 15% under $1M/yr</t>
  </si>
  <si>
    <t xml:space="preserve">Share of players on mobile</t>
  </si>
  <si>
    <t xml:space="preserve">Assumption: rest play the web build (itch.io / portals)</t>
  </si>
  <si>
    <t xml:space="preserve">B2B sales / reseller fee</t>
  </si>
  <si>
    <t xml:space="preserve">Assumption: commission to edu-reseller or sales partner</t>
  </si>
  <si>
    <t xml:space="preserve">Live-ops &amp; new content per year</t>
  </si>
  <si>
    <t xml:space="preserve">USD/yr</t>
  </si>
  <si>
    <t xml:space="preserve">Assumption: part-time designer+dev for new scenario packs</t>
  </si>
  <si>
    <t xml:space="preserve">Ongoing marketing per year</t>
  </si>
  <si>
    <t xml:space="preserve">Assumption: creators + small paid social after launch</t>
  </si>
  <si>
    <t xml:space="preserve">Hosting, tools &amp; store accounts per year</t>
  </si>
  <si>
    <t xml:space="preserve">Web hosting, Godot is free; Apple $99/yr, Google $25 one-off</t>
  </si>
  <si>
    <t xml:space="preserve">Support cost per B2B license</t>
  </si>
  <si>
    <t xml:space="preserve">USD/license</t>
  </si>
  <si>
    <t xml:space="preserve">Assumption: onboarding + teacher support</t>
  </si>
  <si>
    <t xml:space="preserve">Income tax rate</t>
  </si>
  <si>
    <t xml:space="preserve">Simplified assumption — check local SME rate</t>
  </si>
  <si>
    <t xml:space="preserve">Discount rate (NPV)</t>
  </si>
  <si>
    <t xml:space="preserve">Assumption: typical for small risky indie project</t>
  </si>
  <si>
    <t xml:space="preserve">Scenario parameter</t>
  </si>
  <si>
    <t xml:space="preserve">Players in Year 1 (web plays + installs)</t>
  </si>
  <si>
    <t xml:space="preserve">Benchmark: popular itch.io browser games reach 10k–1M+ plays; see Market sheet (SOM)</t>
  </si>
  <si>
    <t xml:space="preserve">Player growth Year 2</t>
  </si>
  <si>
    <t xml:space="preserve">Driven by new scenario packs + creator content</t>
  </si>
  <si>
    <t xml:space="preserve">Player growth Year 3</t>
  </si>
  <si>
    <t xml:space="preserve">Paying conversion (buy ≥1 pack)</t>
  </si>
  <si>
    <t xml:space="preserve">Freemium mobile/edu games usually convert 1–5% of players</t>
  </si>
  <si>
    <t xml:space="preserve">Packs bought per paying player</t>
  </si>
  <si>
    <t xml:space="preserve">packs</t>
  </si>
  <si>
    <t xml:space="preserve">4 packs planned: first job, credit card, investing, first home</t>
  </si>
  <si>
    <t xml:space="preserve">Ad revenue per 1,000 web players</t>
  </si>
  <si>
    <t xml:space="preserve">Web portal (CrazyGames/Poki-style) revenue share, rewarded ads only</t>
  </si>
  <si>
    <t xml:space="preserve">B2B licenses in Year 1 (schools, credit unions, employers)</t>
  </si>
  <si>
    <t xml:space="preserve">Pilot schools from teacher outreach</t>
  </si>
  <si>
    <t xml:space="preserve">B2B license growth Year 2</t>
  </si>
  <si>
    <t xml:space="preserve">B2B license growth Year 3</t>
  </si>
  <si>
    <t xml:space="preserve">Average B2B license price per year</t>
  </si>
  <si>
    <t xml:space="preserve">Classroom site license; credit unions/employers pay more</t>
  </si>
  <si>
    <t xml:space="preserve">Development Cost — how the $75,000 budget is spent</t>
  </si>
  <si>
    <t xml:space="preserve">Personnel cost = Monthly rate × Months × FTE share. Remote freelance rates (assumption).</t>
  </si>
  <si>
    <t xml:space="preserve">Category</t>
  </si>
  <si>
    <t xml:space="preserve">Item</t>
  </si>
  <si>
    <t xml:space="preserve">Monthly rate (USD)</t>
  </si>
  <si>
    <t xml:space="preserve">Months</t>
  </si>
  <si>
    <t xml:space="preserve">FTE share</t>
  </si>
  <si>
    <t xml:space="preserve">Cost (USD)</t>
  </si>
  <si>
    <t xml:space="preserve">Note</t>
  </si>
  <si>
    <t xml:space="preserve">Personnel</t>
  </si>
  <si>
    <t xml:space="preserve">Game designer / scenario writer (lead)</t>
  </si>
  <si>
    <t xml:space="preserve">Writes branching financial scenarios, tunes economy model</t>
  </si>
  <si>
    <t xml:space="preserve">Godot programmer (web + mobile export)</t>
  </si>
  <si>
    <t xml:space="preserve">Single Godot 4 build → HTML5, iOS, Android</t>
  </si>
  <si>
    <t xml:space="preserve">2D artist / UI designer</t>
  </si>
  <si>
    <t xml:space="preserve">Flat illustrations, UI, 'consequence' animations</t>
  </si>
  <si>
    <t xml:space="preserve">Finance expert (consultant)</t>
  </si>
  <si>
    <t xml:space="preserve">Checks scenarios are realistic — key for B2B credibility</t>
  </si>
  <si>
    <t xml:space="preserve">QA &amp; playtesting</t>
  </si>
  <si>
    <t xml:space="preserve">Last 3 months + school pilot testing</t>
  </si>
  <si>
    <t xml:space="preserve">Sound &amp; music (freelance)</t>
  </si>
  <si>
    <t xml:space="preserve">Lump sum: SFX pack + 2–3 music tracks</t>
  </si>
  <si>
    <t xml:space="preserve">Personnel subtotal</t>
  </si>
  <si>
    <t xml:space="preserve">Tools &amp; legal</t>
  </si>
  <si>
    <t xml:space="preserve">Software, asset licenses, cloud</t>
  </si>
  <si>
    <t xml:space="preserve">Godot is free; fonts, SFX libraries, cloud storage</t>
  </si>
  <si>
    <t xml:space="preserve">Store accounts (Apple $99 + Google $25)</t>
  </si>
  <si>
    <t xml:space="preserve">Official developer program fees</t>
  </si>
  <si>
    <t xml:space="preserve">Legal: company, privacy policy, minors' data</t>
  </si>
  <si>
    <t xml:space="preserve">Needed for schools (COPPA/GDPR-style rules)</t>
  </si>
  <si>
    <t xml:space="preserve">Localization (2 languages)</t>
  </si>
  <si>
    <t xml:space="preserve">e.g. Spanish + Korean/Russian</t>
  </si>
  <si>
    <t xml:space="preserve">Marketing &amp; launch</t>
  </si>
  <si>
    <t xml:space="preserve">Creator / influencer campaign</t>
  </si>
  <si>
    <t xml:space="preserve">Many small personal-finance &amp; indie creators</t>
  </si>
  <si>
    <t xml:space="preserve">Paid social (TikTok / Reels / Shorts)</t>
  </si>
  <si>
    <t xml:space="preserve">'One choice, two futures' clips</t>
  </si>
  <si>
    <t xml:space="preserve">Trailer &amp; store assets</t>
  </si>
  <si>
    <t xml:space="preserve">Trailer, screenshots, Steam-style page</t>
  </si>
  <si>
    <t xml:space="preserve">B2B pilot materials &amp; 1 edu conference</t>
  </si>
  <si>
    <t xml:space="preserve">Teacher guide, lesson plans, booth/travel</t>
  </si>
  <si>
    <t xml:space="preserve">Tools, legal &amp; marketing subtotal</t>
  </si>
  <si>
    <t xml:space="preserve">Contingency rate</t>
  </si>
  <si>
    <t xml:space="preserve">Reserve for delays / scope changes (standard 10%)</t>
  </si>
  <si>
    <t xml:space="preserve">Contingency reserve</t>
  </si>
  <si>
    <t xml:space="preserve">TOTAL DEVELOPMENT &amp; LAUNCH COST</t>
  </si>
  <si>
    <t xml:space="preserve">Budget (from Assumptions)</t>
  </si>
  <si>
    <t xml:space="preserve">Remaining budget (must be ≥ 0)</t>
  </si>
  <si>
    <t xml:space="preserve">Revenue Forecast — Price / Gross Revenue (3 years after launch)</t>
  </si>
  <si>
    <t xml:space="preserve">Free core game + premium scenario packs (IAP) + rewarded web ads + B2B licenses. All three scenarios shown.</t>
  </si>
  <si>
    <t xml:space="preserve">LOW SCENARIO</t>
  </si>
  <si>
    <t xml:space="preserve">Year 1</t>
  </si>
  <si>
    <t xml:space="preserve">Year 2</t>
  </si>
  <si>
    <t xml:space="preserve">Year 3</t>
  </si>
  <si>
    <t xml:space="preserve">3-yr total</t>
  </si>
  <si>
    <t xml:space="preserve">Players</t>
  </si>
  <si>
    <t xml:space="preserve">  of which mobile</t>
  </si>
  <si>
    <t xml:space="preserve">  of which web</t>
  </si>
  <si>
    <t xml:space="preserve">Paying players</t>
  </si>
  <si>
    <t xml:space="preserve">Scenario pack sales (IAP), gross</t>
  </si>
  <si>
    <t xml:space="preserve">Rewarded ads on web portals</t>
  </si>
  <si>
    <t xml:space="preserve">B2B licenses (active)</t>
  </si>
  <si>
    <t xml:space="preserve">B2B licensing revenue, gross</t>
  </si>
  <si>
    <t xml:space="preserve">GROSS REVENUE</t>
  </si>
  <si>
    <t xml:space="preserve">– Platform fees on IAP (stores / itch.io)</t>
  </si>
  <si>
    <t xml:space="preserve">– B2B sales fee</t>
  </si>
  <si>
    <t xml:space="preserve">NET REVENUE</t>
  </si>
  <si>
    <t xml:space="preserve">BASE SCENARIO</t>
  </si>
  <si>
    <t xml:space="preserve">HIGH SCENARIO</t>
  </si>
  <si>
    <t xml:space="preserve">Profit &amp; Loss, Cash Flow and Break-even</t>
  </si>
  <si>
    <t xml:space="preserve">Year 0 = development (budget spent). Years 1–3 = after launch.</t>
  </si>
  <si>
    <t xml:space="preserve">Year 0 (dev)</t>
  </si>
  <si>
    <t xml:space="preserve">Total</t>
  </si>
  <si>
    <t xml:space="preserve">Net revenue</t>
  </si>
  <si>
    <t xml:space="preserve">Development &amp; launch cost</t>
  </si>
  <si>
    <t xml:space="preserve">Live-ops &amp; new scenario packs</t>
  </si>
  <si>
    <t xml:space="preserve">Ongoing marketing</t>
  </si>
  <si>
    <t xml:space="preserve">Hosting, tools, store accounts</t>
  </si>
  <si>
    <t xml:space="preserve">B2B customer support</t>
  </si>
  <si>
    <t xml:space="preserve">TOTAL COSTS</t>
  </si>
  <si>
    <t xml:space="preserve">Profit before tax</t>
  </si>
  <si>
    <t xml:space="preserve">Income tax</t>
  </si>
  <si>
    <t xml:space="preserve">NET PROFIT / CASH FLOW</t>
  </si>
  <si>
    <t xml:space="preserve">Cumulative cash</t>
  </si>
  <si>
    <t xml:space="preserve">Break-even year</t>
  </si>
  <si>
    <t xml:space="preserve">ROI after 3 years (cumulative cash ÷ budget)</t>
  </si>
  <si>
    <t xml:space="preserve">NPV of 3 years (at discount rate)</t>
  </si>
  <si>
    <t xml:space="preserve">Market Estimation — TAM / SAM / SOM (bottom-up)</t>
  </si>
  <si>
    <t xml:space="preserve">Approximate public figures — verify and add the source link before submitting.</t>
  </si>
  <si>
    <t xml:space="preserve">Consumer market (players)</t>
  </si>
  <si>
    <t xml:space="preserve">Young people 16–26 in main English-speaking markets (US, UK, CA, AU)</t>
  </si>
  <si>
    <t xml:space="preserve">Approx. from national census data — verify</t>
  </si>
  <si>
    <t xml:space="preserve">Share who play mobile/web games</t>
  </si>
  <si>
    <t xml:space="preserve">Assumption based on industry surveys — verify</t>
  </si>
  <si>
    <t xml:space="preserve">TAM — players</t>
  </si>
  <si>
    <t xml:space="preserve">Formula: population × share</t>
  </si>
  <si>
    <t xml:space="preserve">Share interested in life-sim / educational / money games</t>
  </si>
  <si>
    <t xml:space="preserve">Assumption</t>
  </si>
  <si>
    <t xml:space="preserve">SAM — players</t>
  </si>
  <si>
    <t xml:space="preserve">Formula: TAM × share</t>
  </si>
  <si>
    <t xml:space="preserve">Share we can reach in Year 1 with a $75k budget</t>
  </si>
  <si>
    <t xml:space="preserve">Assumption — calibrated to Base scenario</t>
  </si>
  <si>
    <t xml:space="preserve">SOM — players in Year 1</t>
  </si>
  <si>
    <t xml:space="preserve">Formula: SAM × share; compare with Assumptions → Players Y1 (Base)</t>
  </si>
  <si>
    <t xml:space="preserve">Base-scenario Players Y1 (from Assumptions)</t>
  </si>
  <si>
    <t xml:space="preserve">B2B market (institutions)</t>
  </si>
  <si>
    <t xml:space="preserve">US public high schools</t>
  </si>
  <si>
    <t xml:space="preserve">NCES: ≈ 24k public high schools — verify</t>
  </si>
  <si>
    <t xml:space="preserve">US credit unions</t>
  </si>
  <si>
    <t xml:space="preserve">NCUA: ≈ 4.5k federally insured credit unions — verify</t>
  </si>
  <si>
    <t xml:space="preserve">Employers with financial-wellness programs (target list)</t>
  </si>
  <si>
    <t xml:space="preserve">Assumption: mid-size US employers</t>
  </si>
  <si>
    <t xml:space="preserve">TAM — institutions</t>
  </si>
  <si>
    <t xml:space="preserve">TAM — value per year (× Base license price)</t>
  </si>
  <si>
    <t xml:space="preserve">Base-scenario licenses in Year 3 (SOM)</t>
  </si>
  <si>
    <t xml:space="preserve">SOM as % of TAM institutions</t>
  </si>
  <si>
    <t xml:space="preserve">Roadmap — 9 months development + first year after launch</t>
  </si>
  <si>
    <t xml:space="preserve">Change Start month / Duration (blue); the timeline fills automatically.</t>
  </si>
  <si>
    <t xml:space="preserve">Phase</t>
  </si>
  <si>
    <t xml:space="preserve">Key deliverable / milestone</t>
  </si>
  <si>
    <t xml:space="preserve">Start month</t>
  </si>
  <si>
    <t xml:space="preserve">Duration (months)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</si>
  <si>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</si>
  <si>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</si>
  <si>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</si>
  <si>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</si>
  <si>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</si>
  <si>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</si>
  <si>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</si>
  <si>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</si>
  <si>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</si>
  <si>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</si>
  <si>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</si>
  <si>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</si>
  <si>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</si>
  <si>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</si>
  <si>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</si>
  <si>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Pre-production</t>
  </si>
  <si>
    <t xml:space="preserve">Concept, Macro GDD, economy model on paper</t>
  </si>
  <si>
    <t xml:space="preserve">Vertical slice</t>
  </si>
  <si>
    <t xml:space="preserve">1 full scenario playable (first job &amp; rent)</t>
  </si>
  <si>
    <t xml:space="preserve">Content production</t>
  </si>
  <si>
    <t xml:space="preserve">Core game: 10–12 life scenarios, art, UI</t>
  </si>
  <si>
    <t xml:space="preserve">Beta + school pilot</t>
  </si>
  <si>
    <t xml:space="preserve">Closed beta, 2–3 pilot classrooms, finance-expert review</t>
  </si>
  <si>
    <t xml:space="preserve">LAUNCH</t>
  </si>
  <si>
    <t xml:space="preserve">Web (itch.io + portals) and iOS/Android release</t>
  </si>
  <si>
    <t xml:space="preserve">Marketing campaign</t>
  </si>
  <si>
    <t xml:space="preserve">'Make your mistakes here' — creators + short video</t>
  </si>
  <si>
    <t xml:space="preserve">Scenario pack #1–2</t>
  </si>
  <si>
    <t xml:space="preserve">Credit card &amp; investing packs (IAP)</t>
  </si>
  <si>
    <t xml:space="preserve">B2B sales</t>
  </si>
  <si>
    <t xml:space="preserve">Teacher guide, outreach to schools / credit unions</t>
  </si>
  <si>
    <t xml:space="preserve">Scenario pack #3–4</t>
  </si>
  <si>
    <t xml:space="preserve">First home &amp; job loss packs</t>
  </si>
  <si>
    <t xml:space="preserve">Reference games on itch.io (NOT on Steam) — for 'The Game (Link)' column</t>
  </si>
  <si>
    <t xml:space="preserve">Fill the yellow cells from each itch.io page (rating, number of ratings, comments) before the pitch.</t>
  </si>
  <si>
    <t xml:space="preserve">Game</t>
  </si>
  <si>
    <t xml:space="preserve">Developer</t>
  </si>
  <si>
    <t xml:space="preserve">Link</t>
  </si>
  <si>
    <t xml:space="preserve">Platform</t>
  </si>
  <si>
    <t xml:space="preserve">Price model</t>
  </si>
  <si>
    <t xml:space="preserve">Rating (fill)</t>
  </si>
  <si>
    <t xml:space="preserve"># ratings (fill)</t>
  </si>
  <si>
    <t xml:space="preserve">What it does</t>
  </si>
  <si>
    <t xml:space="preserve">Relevance to MoneyWise</t>
  </si>
  <si>
    <t xml:space="preserve">Your Financial Story</t>
  </si>
  <si>
    <t xml:space="preserve">Brogan M. Pratt</t>
  </si>
  <si>
    <t xml:space="preserve">https://brogan-m-pratt.itch.io/yourfinancialstory</t>
  </si>
  <si>
    <t xml:space="preserve">Windows, macOS, Linux, Android</t>
  </si>
  <si>
    <t xml:space="preserve">Paid, ≈ $3.94 CAD or more</t>
  </si>
  <si>
    <t xml:space="preserve">Personal finance game: pick a career, survive life events, learn zero-sum budgeting</t>
  </si>
  <si>
    <t xml:space="preserve">★ RECOMMENDED main reference: same idea (life choices → money consequences), proves people pay for it</t>
  </si>
  <si>
    <t xml:space="preserve">Eviction Notice</t>
  </si>
  <si>
    <t xml:space="preserve">Almost Safe Studio</t>
  </si>
  <si>
    <t xml:space="preserve">https://almost-safe-studio.itch.io/eviction-notice</t>
  </si>
  <si>
    <t xml:space="preserve">Browser</t>
  </si>
  <si>
    <t xml:space="preserve">Free (check page)</t>
  </si>
  <si>
    <t xml:space="preserve">Real-time cashflow survival sim: rent, side gigs, stress, buying property</t>
  </si>
  <si>
    <t xml:space="preserve">Shows browser format + dramatic 'money pressure' works as entertainment</t>
  </si>
  <si>
    <t xml:space="preserve">Chengetedzo</t>
  </si>
  <si>
    <t xml:space="preserve">baba.zw</t>
  </si>
  <si>
    <t xml:space="preserve">https://babazw.itch.io/chengetedzo</t>
  </si>
  <si>
    <t xml:space="preserve">Browser / download (check)</t>
  </si>
  <si>
    <t xml:space="preserve">Household budget over 24 months: income, savings, insurance, loans (Zimbabwe, 9+)</t>
  </si>
  <si>
    <t xml:space="preserve">Closest edu-sim loop (monthly decisions); shows localization opportunity</t>
  </si>
  <si>
    <t xml:space="preserve">Money Games &amp; Budget Simulator</t>
  </si>
  <si>
    <t xml:space="preserve">Nullexe Games</t>
  </si>
  <si>
    <t xml:space="preserve">https://nullexa.itch.io/money-games-budget-simulator</t>
  </si>
  <si>
    <t xml:space="preserve">Short budgeting challenges, part of a personal-finance education brand</t>
  </si>
  <si>
    <t xml:space="preserve">Example of game as funnel for a finance-education business (B2B/brand angle)</t>
  </si>
  <si>
    <t xml:space="preserve">Simufy</t>
  </si>
  <si>
    <t xml:space="preserve">Richies Huynh</t>
  </si>
  <si>
    <t xml:space="preserve">https://burningicicles.itch.io/simufy</t>
  </si>
  <si>
    <t xml:space="preserve">Check page</t>
  </si>
  <si>
    <t xml:space="preserve">Young adult / mid-career life sim: health, money, retirement</t>
  </si>
  <si>
    <t xml:space="preserve">Similar target audience (young adults, first job)</t>
  </si>
  <si>
    <t xml:space="preserve">Gainz: The Financial Literacy Game</t>
  </si>
  <si>
    <t xml:space="preserve">bbutterscotch</t>
  </si>
  <si>
    <t xml:space="preserve">https://bbutterscotch.itch.io/gainz</t>
  </si>
  <si>
    <t xml:space="preserve">Tinder-like swipe decisions about money</t>
  </si>
  <si>
    <t xml:space="preserve">Idea for fast, mobile-friendly decision UI</t>
  </si>
  <si>
    <t xml:space="preserve">Excluded: 'Life &amp; Debt: A Real Life Simulator' — also sold on Steam (itch.io purchase gives a Steam key).</t>
  </si>
  <si>
    <t xml:space="preserve">How to use this model</t>
  </si>
  <si>
    <t xml:space="preserve">1. Change inputs only on 'Assumptions' (blue text) and 'Development Cost' (blue text). Everything else recalculates.</t>
  </si>
  <si>
    <t xml:space="preserve">2. Yellow cells are the key assumptions — be ready to explain them in the pitch.</t>
  </si>
  <si>
    <t xml:space="preserve">3. 'Summary' has the numbers for the Pitchdeck slides: Price / Gross Revenue, Market Estimation, Targets, Development Cost.</t>
  </si>
  <si>
    <t xml:space="preserve">4. 'Market Estimation' figures are approximate — add source links before submitting.</t>
  </si>
  <si>
    <t xml:space="preserve">5. 'Comparable Games' — fill rating and number of ratings from each itch.io page.</t>
  </si>
  <si>
    <t xml:space="preserve">Colour code: blue = input · black = formula · green = link to another sheet · yellow fill = key assumption</t>
  </si>
  <si>
    <t xml:space="preserve">Example input row: Assumptions → 'Paying conversion' Low 1.5% / Base 3.0% / High 5.0% (type 3% or 0.03).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</si>
</sst>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;&quot;($&quot;#,##0.00\);\-"/>
    <numFmt numFmtId="166" formatCode="\$#,##0;&quot;($&quot;#,##0\);\-"/>
    <numFmt numFmtId="167" formatCode="#,##0;\(#,##0\);\-"/>
    <numFmt numFmtId="168" formatCode="0.0%;\(0.0%\);\-"/>
    <numFmt numFmtId="169" formatCode="#,##0.0;\(#,##0.0\);\-"/>
    <numFmt numFmtId="170" formatCode="0.0"/>
    <numFmt numFmtId="171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brogan-m-pratt.itch.io/yourfinancialstory" TargetMode="External"/><Relationship Id="rId2" Type="http://schemas.openxmlformats.org/officeDocument/2006/relationships/hyperlink" Target="https://almost-safe-studio.itch.io/eviction-notice" TargetMode="External"/><Relationship Id="rId3" Type="http://schemas.openxmlformats.org/officeDocument/2006/relationships/hyperlink" Target="https://babazw.itch.io/chengetedzo" TargetMode="External"/><Relationship Id="rId4" Type="http://schemas.openxmlformats.org/officeDocument/2006/relationships/hyperlink" Target="https://nullexa.itch.io/money-games-budget-simulator" TargetMode="External"/><Relationship Id="rId5" Type="http://schemas.openxmlformats.org/officeDocument/2006/relationships/hyperlink" Target="https://burningicicles.itch.io/simufy" TargetMode="External"/><Relationship Id="rId6" Type="http://schemas.openxmlformats.org/officeDocument/2006/relationships/hyperlink" Target="https://bbutterscotch.itch.io/gainz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4" t="s">
        <v>2</v>
      </c>
      <c r="B4" s="4" t="s">
        <v>3</v>
      </c>
      <c r="C4" s="4"/>
      <c r="D4" s="4"/>
      <c r="E4" s="4"/>
    </row>
    <row r="5" customFormat="false" ht="15" hidden="false" customHeight="false" outlineLevel="0" collapsed="false">
      <c r="A5" s="2" t="s">
        <v>4</v>
      </c>
      <c r="B5" s="2" t="s">
        <v>5</v>
      </c>
      <c r="C5" s="2"/>
      <c r="D5" s="2"/>
      <c r="E5" s="2"/>
    </row>
    <row r="6" customFormat="false" ht="15" hidden="false" customHeight="false" outlineLevel="0" collapsed="false">
      <c r="A6" s="2" t="s">
        <v>6</v>
      </c>
      <c r="B6" s="5" t="n">
        <f aca="false">Assumptions!$D$7</f>
        <v>2.99</v>
      </c>
      <c r="C6" s="2"/>
      <c r="D6" s="2"/>
      <c r="E6" s="2"/>
    </row>
    <row r="7" customFormat="false" ht="15" hidden="false" customHeight="false" outlineLevel="0" collapsed="false">
      <c r="A7" s="2" t="s">
        <v>7</v>
      </c>
      <c r="B7" s="6" t="n">
        <f aca="false">Assumptions!$D$29</f>
        <v>2000</v>
      </c>
      <c r="C7" s="2"/>
      <c r="D7" s="2"/>
      <c r="E7" s="2"/>
    </row>
    <row r="8" customFormat="false" ht="15" hidden="false" customHeight="false" outlineLevel="0" collapsed="false">
      <c r="A8" s="2" t="s">
        <v>8</v>
      </c>
      <c r="B8" s="6" t="n">
        <f aca="false">Assumptions!$D$5</f>
        <v>75000</v>
      </c>
      <c r="C8" s="2"/>
      <c r="D8" s="2"/>
      <c r="E8" s="2"/>
    </row>
    <row r="9" customFormat="false" ht="15" hidden="false" customHeight="false" outlineLevel="0" collapsed="false">
      <c r="A9" s="2" t="s">
        <v>9</v>
      </c>
      <c r="B9" s="6" t="n">
        <f aca="false">'Development Cost'!$F$26</f>
        <v>74496.4</v>
      </c>
      <c r="C9" s="2"/>
      <c r="D9" s="2"/>
      <c r="E9" s="2"/>
    </row>
    <row r="10" customFormat="false" ht="15" hidden="false" customHeight="false" outlineLevel="0" collapsed="false">
      <c r="A10" s="2"/>
      <c r="B10" s="2"/>
      <c r="C10" s="2"/>
      <c r="D10" s="2"/>
      <c r="E10" s="2"/>
    </row>
    <row r="11" customFormat="false" ht="15" hidden="false" customHeight="false" outlineLevel="0" collapsed="false">
      <c r="A11" s="4" t="s">
        <v>10</v>
      </c>
      <c r="B11" s="4" t="s">
        <v>11</v>
      </c>
      <c r="C11" s="4" t="s">
        <v>12</v>
      </c>
      <c r="D11" s="4" t="s">
        <v>13</v>
      </c>
      <c r="E11" s="4" t="s">
        <v>14</v>
      </c>
    </row>
    <row r="12" customFormat="false" ht="15" hidden="false" customHeight="false" outlineLevel="0" collapsed="false">
      <c r="A12" s="2" t="s">
        <v>15</v>
      </c>
      <c r="B12" s="7" t="n">
        <f aca="false">Revenue!C5</f>
        <v>40000</v>
      </c>
      <c r="C12" s="7" t="n">
        <f aca="false">Revenue!C19</f>
        <v>120000</v>
      </c>
      <c r="D12" s="7" t="n">
        <f aca="false">Revenue!C33</f>
        <v>300000</v>
      </c>
      <c r="E12" s="3" t="s">
        <v>16</v>
      </c>
    </row>
    <row r="13" customFormat="false" ht="15" hidden="false" customHeight="false" outlineLevel="0" collapsed="false">
      <c r="A13" s="2" t="s">
        <v>17</v>
      </c>
      <c r="B13" s="7" t="n">
        <f aca="false">Revenue!C8</f>
        <v>600</v>
      </c>
      <c r="C13" s="7" t="n">
        <f aca="false">Revenue!C22</f>
        <v>3600</v>
      </c>
      <c r="D13" s="7" t="n">
        <f aca="false">Revenue!C36</f>
        <v>15000</v>
      </c>
      <c r="E13" s="3" t="s">
        <v>16</v>
      </c>
    </row>
    <row r="14" customFormat="false" ht="15" hidden="false" customHeight="false" outlineLevel="0" collapsed="false">
      <c r="A14" s="2" t="s">
        <v>18</v>
      </c>
      <c r="B14" s="7" t="n">
        <f aca="false">Revenue!C11</f>
        <v>3</v>
      </c>
      <c r="C14" s="7" t="n">
        <f aca="false">Revenue!C25</f>
        <v>8</v>
      </c>
      <c r="D14" s="7" t="n">
        <f aca="false">Revenue!C39</f>
        <v>15</v>
      </c>
      <c r="E14" s="3" t="s">
        <v>19</v>
      </c>
    </row>
    <row r="15" customFormat="false" ht="15" hidden="false" customHeight="false" outlineLevel="0" collapsed="false">
      <c r="A15" s="2" t="s">
        <v>20</v>
      </c>
      <c r="B15" s="8" t="n">
        <f aca="false">Revenue!C13</f>
        <v>7491</v>
      </c>
      <c r="C15" s="8" t="n">
        <f aca="false">Revenue!C27</f>
        <v>39028</v>
      </c>
      <c r="D15" s="8" t="n">
        <f aca="false">Revenue!C41</f>
        <v>163125</v>
      </c>
      <c r="E15" s="3" t="s">
        <v>21</v>
      </c>
    </row>
    <row r="16" customFormat="false" ht="15" hidden="false" customHeight="false" outlineLevel="0" collapsed="false">
      <c r="A16" s="2" t="s">
        <v>22</v>
      </c>
      <c r="B16" s="8" t="n">
        <f aca="false">Revenue!D13</f>
        <v>10790.1</v>
      </c>
      <c r="C16" s="8" t="n">
        <f aca="false">Revenue!D27</f>
        <v>64239.2</v>
      </c>
      <c r="D16" s="8" t="n">
        <f aca="false">Revenue!D41</f>
        <v>314812.5</v>
      </c>
      <c r="E16" s="3" t="s">
        <v>21</v>
      </c>
    </row>
    <row r="17" customFormat="false" ht="15" hidden="false" customHeight="false" outlineLevel="0" collapsed="false">
      <c r="A17" s="2" t="s">
        <v>23</v>
      </c>
      <c r="B17" s="8" t="n">
        <f aca="false">Revenue!E13</f>
        <v>13790.1</v>
      </c>
      <c r="C17" s="8" t="n">
        <f aca="false">Revenue!E27</f>
        <v>90687.04</v>
      </c>
      <c r="D17" s="8" t="n">
        <f aca="false">Revenue!E41</f>
        <v>509137.5</v>
      </c>
      <c r="E17" s="3" t="s">
        <v>21</v>
      </c>
    </row>
    <row r="18" customFormat="false" ht="15" hidden="false" customHeight="false" outlineLevel="0" collapsed="false">
      <c r="A18" s="9" t="s">
        <v>24</v>
      </c>
      <c r="B18" s="10" t="n">
        <f aca="false">Revenue!F13</f>
        <v>32071.2</v>
      </c>
      <c r="C18" s="10" t="n">
        <f aca="false">Revenue!F27</f>
        <v>193954.24</v>
      </c>
      <c r="D18" s="10" t="n">
        <f aca="false">Revenue!F41</f>
        <v>987075</v>
      </c>
      <c r="E18" s="11" t="s">
        <v>21</v>
      </c>
    </row>
    <row r="19" customFormat="false" ht="15" hidden="false" customHeight="false" outlineLevel="0" collapsed="false">
      <c r="A19" s="9" t="s">
        <v>25</v>
      </c>
      <c r="B19" s="10" t="n">
        <f aca="false">Revenue!F16</f>
        <v>28744.8</v>
      </c>
      <c r="C19" s="10" t="n">
        <f aca="false">Revenue!F30</f>
        <v>172974.96</v>
      </c>
      <c r="D19" s="10" t="n">
        <f aca="false">Revenue!F44</f>
        <v>877175.625</v>
      </c>
      <c r="E19" s="11" t="s">
        <v>21</v>
      </c>
    </row>
    <row r="20" customFormat="false" ht="15" hidden="false" customHeight="false" outlineLevel="0" collapsed="false">
      <c r="A20" s="2" t="s">
        <v>26</v>
      </c>
      <c r="B20" s="8" t="n">
        <f aca="false">'P&amp;L &amp; Break-even'!F14</f>
        <v>-103801.6</v>
      </c>
      <c r="C20" s="8" t="n">
        <f aca="false">'P&amp;L &amp; Break-even'!F30</f>
        <v>24211.064</v>
      </c>
      <c r="D20" s="8" t="n">
        <f aca="false">'P&amp;L &amp; Break-even'!F46</f>
        <v>647326.6625</v>
      </c>
      <c r="E20" s="3" t="s">
        <v>21</v>
      </c>
    </row>
    <row r="21" customFormat="false" ht="15" hidden="false" customHeight="false" outlineLevel="0" collapsed="false">
      <c r="A21" s="2" t="s">
        <v>27</v>
      </c>
      <c r="B21" s="12" t="n">
        <f aca="false">'P&amp;L &amp; Break-even'!B17</f>
        <v>-1.39337739810246</v>
      </c>
      <c r="C21" s="12" t="n">
        <f aca="false">'P&amp;L &amp; Break-even'!B33</f>
        <v>0.32499642935766</v>
      </c>
      <c r="D21" s="12" t="n">
        <f aca="false">'P&amp;L &amp; Break-even'!B49</f>
        <v>8.68936837887468</v>
      </c>
      <c r="E21" s="3" t="s">
        <v>28</v>
      </c>
    </row>
    <row r="22" customFormat="false" ht="15" hidden="false" customHeight="false" outlineLevel="0" collapsed="false">
      <c r="A22" s="2" t="s">
        <v>29</v>
      </c>
      <c r="B22" s="8" t="n">
        <f aca="false">'P&amp;L &amp; Break-even'!B18</f>
        <v>-98417.5211535395</v>
      </c>
      <c r="C22" s="8" t="n">
        <f aca="false">'P&amp;L &amp; Break-even'!B34</f>
        <v>984.189695699693</v>
      </c>
      <c r="D22" s="8" t="n">
        <f aca="false">'P&amp;L &amp; Break-even'!B50</f>
        <v>479076.374014042</v>
      </c>
      <c r="E22" s="3" t="s">
        <v>21</v>
      </c>
    </row>
    <row r="23" customFormat="false" ht="15" hidden="false" customHeight="false" outlineLevel="0" collapsed="false">
      <c r="A23" s="9" t="s">
        <v>30</v>
      </c>
      <c r="B23" s="13" t="str">
        <f aca="false">'P&amp;L &amp; Break-even'!B16</f>
        <v>After Year 3</v>
      </c>
      <c r="C23" s="13" t="str">
        <f aca="false">'P&amp;L &amp; Break-even'!B32</f>
        <v>Year 3</v>
      </c>
      <c r="D23" s="13" t="str">
        <f aca="false">'P&amp;L &amp; Break-even'!B48</f>
        <v>Year 1</v>
      </c>
      <c r="E23" s="11"/>
    </row>
    <row r="24" customFormat="false" ht="15" hidden="false" customHeight="false" outlineLevel="0" collapsed="false">
      <c r="A24" s="2"/>
      <c r="B24" s="2"/>
      <c r="C24" s="2"/>
      <c r="D24" s="2"/>
      <c r="E24" s="2"/>
    </row>
    <row r="25" customFormat="false" ht="15" hidden="false" customHeight="false" outlineLevel="0" collapsed="false">
      <c r="A25" s="4" t="s">
        <v>31</v>
      </c>
      <c r="B25" s="4" t="s">
        <v>21</v>
      </c>
      <c r="C25" s="4" t="s">
        <v>32</v>
      </c>
      <c r="D25" s="4"/>
      <c r="E25" s="4"/>
    </row>
    <row r="26" customFormat="false" ht="15" hidden="false" customHeight="false" outlineLevel="0" collapsed="false">
      <c r="A26" s="2" t="s">
        <v>33</v>
      </c>
      <c r="B26" s="6" t="n">
        <f aca="false">Revenue!F23</f>
        <v>87834.24</v>
      </c>
      <c r="C26" s="14" t="n">
        <f aca="false">IF($B$29=0,0,B26/$B$29)</f>
        <v>0.452860633518504</v>
      </c>
      <c r="D26" s="2"/>
      <c r="E26" s="2"/>
    </row>
    <row r="27" customFormat="false" ht="15" hidden="false" customHeight="false" outlineLevel="0" collapsed="false">
      <c r="A27" s="2" t="s">
        <v>34</v>
      </c>
      <c r="B27" s="6" t="n">
        <f aca="false">Revenue!F24</f>
        <v>6120</v>
      </c>
      <c r="C27" s="14" t="n">
        <f aca="false">IF($B$29=0,0,B27/$B$29)</f>
        <v>0.0315538345539649</v>
      </c>
      <c r="D27" s="2"/>
      <c r="E27" s="2"/>
    </row>
    <row r="28" customFormat="false" ht="15" hidden="false" customHeight="false" outlineLevel="0" collapsed="false">
      <c r="A28" s="2" t="s">
        <v>35</v>
      </c>
      <c r="B28" s="6" t="n">
        <f aca="false">Revenue!F26</f>
        <v>100000</v>
      </c>
      <c r="C28" s="14" t="n">
        <f aca="false">IF($B$29=0,0,B28/$B$29)</f>
        <v>0.515585531927531</v>
      </c>
      <c r="D28" s="2"/>
      <c r="E28" s="2"/>
    </row>
    <row r="29" customFormat="false" ht="15" hidden="false" customHeight="false" outlineLevel="0" collapsed="false">
      <c r="A29" s="15" t="s">
        <v>36</v>
      </c>
      <c r="B29" s="16" t="n">
        <f aca="false">SUM(B26:B28)</f>
        <v>193954.24</v>
      </c>
      <c r="C29" s="14" t="n">
        <f aca="false">IF($B$29=0,0,B29/$B$29)</f>
        <v>1</v>
      </c>
      <c r="D29" s="2"/>
      <c r="E29" s="2"/>
    </row>
    <row r="30" customFormat="false" ht="15" hidden="false" customHeight="false" outlineLevel="0" collapsed="false">
      <c r="A30" s="2"/>
      <c r="B30" s="2"/>
      <c r="C30" s="2"/>
      <c r="D30" s="2"/>
      <c r="E30" s="2"/>
    </row>
    <row r="31" customFormat="false" ht="15" hidden="false" customHeight="false" outlineLevel="0" collapsed="false">
      <c r="A31" s="4" t="s">
        <v>37</v>
      </c>
      <c r="B31" s="4" t="s">
        <v>21</v>
      </c>
      <c r="C31" s="4" t="s">
        <v>38</v>
      </c>
      <c r="D31" s="4"/>
      <c r="E31" s="4"/>
    </row>
    <row r="32" customFormat="false" ht="15" hidden="false" customHeight="false" outlineLevel="0" collapsed="false">
      <c r="A32" s="2" t="s">
        <v>39</v>
      </c>
      <c r="B32" s="6" t="n">
        <f aca="false">'Development Cost'!F11</f>
        <v>50500</v>
      </c>
      <c r="C32" s="17" t="n">
        <f aca="false">'Development Cost'!G11</f>
        <v>0.673333333333333</v>
      </c>
      <c r="D32" s="2"/>
      <c r="E32" s="2"/>
    </row>
    <row r="33" customFormat="false" ht="15" hidden="false" customHeight="false" outlineLevel="0" collapsed="false">
      <c r="A33" s="2" t="s">
        <v>40</v>
      </c>
      <c r="B33" s="6" t="n">
        <f aca="false">'Development Cost'!F21</f>
        <v>17224</v>
      </c>
      <c r="C33" s="17" t="n">
        <f aca="false">'Development Cost'!G21</f>
        <v>0.229653333333333</v>
      </c>
      <c r="D33" s="2"/>
      <c r="E33" s="2"/>
    </row>
    <row r="34" customFormat="false" ht="15" hidden="false" customHeight="false" outlineLevel="0" collapsed="false">
      <c r="A34" s="2" t="s">
        <v>41</v>
      </c>
      <c r="B34" s="6" t="n">
        <f aca="false">'Development Cost'!F24</f>
        <v>6772.4</v>
      </c>
      <c r="C34" s="17" t="n">
        <f aca="false">'Development Cost'!G24</f>
        <v>0.0902986666666667</v>
      </c>
      <c r="D34" s="2"/>
      <c r="E3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3"/>
    <col collapsed="false" customWidth="true" hidden="false" outlineLevel="0" max="5" min="3" style="0" width="12"/>
    <col collapsed="false" customWidth="true" hidden="false" outlineLevel="0" max="6" min="6" style="0" width="80"/>
  </cols>
  <sheetData>
    <row r="1" customFormat="false" ht="17.35" hidden="false" customHeight="false" outlineLevel="0" collapsed="false">
      <c r="A1" s="1" t="s">
        <v>42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43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44</v>
      </c>
      <c r="B4" s="4" t="s">
        <v>14</v>
      </c>
      <c r="C4" s="4"/>
      <c r="D4" s="4" t="s">
        <v>3</v>
      </c>
      <c r="E4" s="4"/>
      <c r="F4" s="4" t="s">
        <v>45</v>
      </c>
    </row>
    <row r="5" customFormat="false" ht="15" hidden="false" customHeight="false" outlineLevel="0" collapsed="false">
      <c r="A5" s="18" t="s">
        <v>8</v>
      </c>
      <c r="B5" s="18" t="s">
        <v>21</v>
      </c>
      <c r="C5" s="2"/>
      <c r="D5" s="19" t="n">
        <v>75000</v>
      </c>
      <c r="E5" s="2"/>
      <c r="F5" s="3" t="s">
        <v>46</v>
      </c>
    </row>
    <row r="6" customFormat="false" ht="15" hidden="false" customHeight="false" outlineLevel="0" collapsed="false">
      <c r="A6" s="18" t="s">
        <v>47</v>
      </c>
      <c r="B6" s="18" t="s">
        <v>48</v>
      </c>
      <c r="C6" s="2"/>
      <c r="D6" s="20" t="n">
        <v>9</v>
      </c>
      <c r="E6" s="2"/>
      <c r="F6" s="3" t="s">
        <v>49</v>
      </c>
    </row>
    <row r="7" customFormat="false" ht="15" hidden="false" customHeight="false" outlineLevel="0" collapsed="false">
      <c r="A7" s="18" t="s">
        <v>50</v>
      </c>
      <c r="B7" s="18" t="s">
        <v>21</v>
      </c>
      <c r="C7" s="2"/>
      <c r="D7" s="21" t="n">
        <v>2.99</v>
      </c>
      <c r="E7" s="2"/>
      <c r="F7" s="3" t="s">
        <v>51</v>
      </c>
    </row>
    <row r="8" customFormat="false" ht="15" hidden="false" customHeight="false" outlineLevel="0" collapsed="false">
      <c r="A8" s="18" t="s">
        <v>52</v>
      </c>
      <c r="B8" s="18" t="s">
        <v>28</v>
      </c>
      <c r="C8" s="2"/>
      <c r="D8" s="22" t="n">
        <v>0.1</v>
      </c>
      <c r="E8" s="2"/>
      <c r="F8" s="3" t="s">
        <v>53</v>
      </c>
    </row>
    <row r="9" customFormat="false" ht="15" hidden="false" customHeight="false" outlineLevel="0" collapsed="false">
      <c r="A9" s="18" t="s">
        <v>54</v>
      </c>
      <c r="B9" s="18" t="s">
        <v>28</v>
      </c>
      <c r="C9" s="2"/>
      <c r="D9" s="22" t="n">
        <v>0.15</v>
      </c>
      <c r="E9" s="2"/>
      <c r="F9" s="3" t="s">
        <v>55</v>
      </c>
    </row>
    <row r="10" customFormat="false" ht="15" hidden="false" customHeight="false" outlineLevel="0" collapsed="false">
      <c r="A10" s="18" t="s">
        <v>56</v>
      </c>
      <c r="B10" s="18" t="s">
        <v>28</v>
      </c>
      <c r="C10" s="2"/>
      <c r="D10" s="22" t="n">
        <v>0.5</v>
      </c>
      <c r="E10" s="2"/>
      <c r="F10" s="3" t="s">
        <v>57</v>
      </c>
    </row>
    <row r="11" customFormat="false" ht="15" hidden="false" customHeight="false" outlineLevel="0" collapsed="false">
      <c r="A11" s="18" t="s">
        <v>58</v>
      </c>
      <c r="B11" s="18" t="s">
        <v>28</v>
      </c>
      <c r="C11" s="2"/>
      <c r="D11" s="22" t="n">
        <v>0.1</v>
      </c>
      <c r="E11" s="2"/>
      <c r="F11" s="3" t="s">
        <v>59</v>
      </c>
    </row>
    <row r="12" customFormat="false" ht="15" hidden="false" customHeight="false" outlineLevel="0" collapsed="false">
      <c r="A12" s="18" t="s">
        <v>60</v>
      </c>
      <c r="B12" s="18" t="s">
        <v>61</v>
      </c>
      <c r="C12" s="2"/>
      <c r="D12" s="23" t="n">
        <v>12000</v>
      </c>
      <c r="E12" s="2"/>
      <c r="F12" s="3" t="s">
        <v>62</v>
      </c>
    </row>
    <row r="13" customFormat="false" ht="15" hidden="false" customHeight="false" outlineLevel="0" collapsed="false">
      <c r="A13" s="18" t="s">
        <v>63</v>
      </c>
      <c r="B13" s="18" t="s">
        <v>61</v>
      </c>
      <c r="C13" s="2"/>
      <c r="D13" s="23" t="n">
        <v>6000</v>
      </c>
      <c r="E13" s="2"/>
      <c r="F13" s="3" t="s">
        <v>64</v>
      </c>
    </row>
    <row r="14" customFormat="false" ht="15" hidden="false" customHeight="false" outlineLevel="0" collapsed="false">
      <c r="A14" s="18" t="s">
        <v>65</v>
      </c>
      <c r="B14" s="18" t="s">
        <v>61</v>
      </c>
      <c r="C14" s="2"/>
      <c r="D14" s="23" t="n">
        <v>600</v>
      </c>
      <c r="E14" s="2"/>
      <c r="F14" s="3" t="s">
        <v>66</v>
      </c>
    </row>
    <row r="15" customFormat="false" ht="15" hidden="false" customHeight="false" outlineLevel="0" collapsed="false">
      <c r="A15" s="18" t="s">
        <v>67</v>
      </c>
      <c r="B15" s="18" t="s">
        <v>68</v>
      </c>
      <c r="C15" s="2"/>
      <c r="D15" s="23" t="n">
        <v>150</v>
      </c>
      <c r="E15" s="2"/>
      <c r="F15" s="3" t="s">
        <v>69</v>
      </c>
    </row>
    <row r="16" customFormat="false" ht="15" hidden="false" customHeight="false" outlineLevel="0" collapsed="false">
      <c r="A16" s="18" t="s">
        <v>70</v>
      </c>
      <c r="B16" s="18" t="s">
        <v>28</v>
      </c>
      <c r="C16" s="2"/>
      <c r="D16" s="22" t="n">
        <v>0.1</v>
      </c>
      <c r="E16" s="2"/>
      <c r="F16" s="3" t="s">
        <v>71</v>
      </c>
    </row>
    <row r="17" customFormat="false" ht="15" hidden="false" customHeight="false" outlineLevel="0" collapsed="false">
      <c r="A17" s="18" t="s">
        <v>72</v>
      </c>
      <c r="B17" s="18" t="s">
        <v>28</v>
      </c>
      <c r="C17" s="2"/>
      <c r="D17" s="22" t="n">
        <v>0.12</v>
      </c>
      <c r="E17" s="2"/>
      <c r="F17" s="3" t="s">
        <v>73</v>
      </c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</row>
    <row r="19" customFormat="false" ht="15" hidden="false" customHeight="false" outlineLevel="0" collapsed="false">
      <c r="A19" s="4" t="s">
        <v>74</v>
      </c>
      <c r="B19" s="4" t="s">
        <v>14</v>
      </c>
      <c r="C19" s="4" t="s">
        <v>11</v>
      </c>
      <c r="D19" s="4" t="s">
        <v>12</v>
      </c>
      <c r="E19" s="4" t="s">
        <v>13</v>
      </c>
      <c r="F19" s="4" t="s">
        <v>45</v>
      </c>
    </row>
    <row r="20" customFormat="false" ht="15" hidden="false" customHeight="false" outlineLevel="0" collapsed="false">
      <c r="A20" s="18" t="s">
        <v>75</v>
      </c>
      <c r="B20" s="18" t="s">
        <v>16</v>
      </c>
      <c r="C20" s="24" t="n">
        <v>40000</v>
      </c>
      <c r="D20" s="24" t="n">
        <v>120000</v>
      </c>
      <c r="E20" s="24" t="n">
        <v>300000</v>
      </c>
      <c r="F20" s="3" t="s">
        <v>76</v>
      </c>
    </row>
    <row r="21" customFormat="false" ht="15" hidden="false" customHeight="false" outlineLevel="0" collapsed="false">
      <c r="A21" s="18" t="s">
        <v>77</v>
      </c>
      <c r="B21" s="18" t="s">
        <v>28</v>
      </c>
      <c r="C21" s="22" t="n">
        <v>0.1</v>
      </c>
      <c r="D21" s="22" t="n">
        <v>0.4</v>
      </c>
      <c r="E21" s="22" t="n">
        <v>0.7</v>
      </c>
      <c r="F21" s="3" t="s">
        <v>78</v>
      </c>
    </row>
    <row r="22" customFormat="false" ht="15" hidden="false" customHeight="false" outlineLevel="0" collapsed="false">
      <c r="A22" s="18" t="s">
        <v>79</v>
      </c>
      <c r="B22" s="18" t="s">
        <v>28</v>
      </c>
      <c r="C22" s="22" t="n">
        <v>0</v>
      </c>
      <c r="D22" s="22" t="n">
        <v>0.2</v>
      </c>
      <c r="E22" s="22" t="n">
        <v>0.4</v>
      </c>
      <c r="F22" s="3"/>
    </row>
    <row r="23" customFormat="false" ht="15" hidden="false" customHeight="false" outlineLevel="0" collapsed="false">
      <c r="A23" s="18" t="s">
        <v>80</v>
      </c>
      <c r="B23" s="18" t="s">
        <v>28</v>
      </c>
      <c r="C23" s="25" t="n">
        <v>0.015</v>
      </c>
      <c r="D23" s="25" t="n">
        <v>0.03</v>
      </c>
      <c r="E23" s="25" t="n">
        <v>0.05</v>
      </c>
      <c r="F23" s="3" t="s">
        <v>81</v>
      </c>
    </row>
    <row r="24" customFormat="false" ht="15" hidden="false" customHeight="false" outlineLevel="0" collapsed="false">
      <c r="A24" s="18" t="s">
        <v>82</v>
      </c>
      <c r="B24" s="18" t="s">
        <v>83</v>
      </c>
      <c r="C24" s="26" t="n">
        <v>1.5</v>
      </c>
      <c r="D24" s="26" t="n">
        <v>2</v>
      </c>
      <c r="E24" s="26" t="n">
        <v>2.5</v>
      </c>
      <c r="F24" s="3" t="s">
        <v>84</v>
      </c>
    </row>
    <row r="25" customFormat="false" ht="15" hidden="false" customHeight="false" outlineLevel="0" collapsed="false">
      <c r="A25" s="18" t="s">
        <v>85</v>
      </c>
      <c r="B25" s="18" t="s">
        <v>21</v>
      </c>
      <c r="C25" s="23" t="n">
        <v>15</v>
      </c>
      <c r="D25" s="23" t="n">
        <v>25</v>
      </c>
      <c r="E25" s="23" t="n">
        <v>40</v>
      </c>
      <c r="F25" s="3" t="s">
        <v>86</v>
      </c>
    </row>
    <row r="26" customFormat="false" ht="15" hidden="false" customHeight="false" outlineLevel="0" collapsed="false">
      <c r="A26" s="18" t="s">
        <v>87</v>
      </c>
      <c r="B26" s="18" t="s">
        <v>19</v>
      </c>
      <c r="C26" s="24" t="n">
        <v>3</v>
      </c>
      <c r="D26" s="24" t="n">
        <v>8</v>
      </c>
      <c r="E26" s="24" t="n">
        <v>15</v>
      </c>
      <c r="F26" s="3" t="s">
        <v>88</v>
      </c>
    </row>
    <row r="27" customFormat="false" ht="15" hidden="false" customHeight="false" outlineLevel="0" collapsed="false">
      <c r="A27" s="18" t="s">
        <v>89</v>
      </c>
      <c r="B27" s="18" t="s">
        <v>28</v>
      </c>
      <c r="C27" s="22" t="n">
        <v>0.5</v>
      </c>
      <c r="D27" s="22" t="n">
        <v>1</v>
      </c>
      <c r="E27" s="22" t="n">
        <v>1.5</v>
      </c>
      <c r="F27" s="3"/>
    </row>
    <row r="28" customFormat="false" ht="15" hidden="false" customHeight="false" outlineLevel="0" collapsed="false">
      <c r="A28" s="18" t="s">
        <v>90</v>
      </c>
      <c r="B28" s="18" t="s">
        <v>28</v>
      </c>
      <c r="C28" s="22" t="n">
        <v>0.3</v>
      </c>
      <c r="D28" s="22" t="n">
        <v>0.6</v>
      </c>
      <c r="E28" s="22" t="n">
        <v>1</v>
      </c>
      <c r="F28" s="3"/>
    </row>
    <row r="29" customFormat="false" ht="15" hidden="false" customHeight="false" outlineLevel="0" collapsed="false">
      <c r="A29" s="18" t="s">
        <v>91</v>
      </c>
      <c r="B29" s="18" t="s">
        <v>61</v>
      </c>
      <c r="C29" s="19" t="n">
        <v>1500</v>
      </c>
      <c r="D29" s="19" t="n">
        <v>2000</v>
      </c>
      <c r="E29" s="19" t="n">
        <v>3000</v>
      </c>
      <c r="F29" s="3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58"/>
  </cols>
  <sheetData>
    <row r="1" customFormat="false" ht="17.35" hidden="false" customHeight="false" outlineLevel="0" collapsed="false">
      <c r="A1" s="1" t="s">
        <v>93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94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4" t="s">
        <v>95</v>
      </c>
      <c r="B4" s="4" t="s">
        <v>96</v>
      </c>
      <c r="C4" s="4" t="s">
        <v>97</v>
      </c>
      <c r="D4" s="4" t="s">
        <v>98</v>
      </c>
      <c r="E4" s="4" t="s">
        <v>99</v>
      </c>
      <c r="F4" s="4" t="s">
        <v>100</v>
      </c>
      <c r="G4" s="4" t="s">
        <v>38</v>
      </c>
      <c r="H4" s="4" t="s">
        <v>101</v>
      </c>
    </row>
    <row r="5" customFormat="false" ht="15" hidden="false" customHeight="false" outlineLevel="0" collapsed="false">
      <c r="A5" s="2" t="s">
        <v>102</v>
      </c>
      <c r="B5" s="2" t="s">
        <v>103</v>
      </c>
      <c r="C5" s="23" t="n">
        <v>2000</v>
      </c>
      <c r="D5" s="20" t="n">
        <v>9</v>
      </c>
      <c r="E5" s="27" t="n">
        <v>1</v>
      </c>
      <c r="F5" s="28" t="n">
        <f aca="false">C5*D5*E5</f>
        <v>18000</v>
      </c>
      <c r="G5" s="14" t="n">
        <f aca="false">IF($F$27=0,0,F5/$F$27)</f>
        <v>0.24</v>
      </c>
      <c r="H5" s="3" t="s">
        <v>104</v>
      </c>
    </row>
    <row r="6" customFormat="false" ht="15" hidden="false" customHeight="false" outlineLevel="0" collapsed="false">
      <c r="A6" s="2" t="s">
        <v>102</v>
      </c>
      <c r="B6" s="2" t="s">
        <v>105</v>
      </c>
      <c r="C6" s="23" t="n">
        <v>2200</v>
      </c>
      <c r="D6" s="20" t="n">
        <v>8</v>
      </c>
      <c r="E6" s="27" t="n">
        <v>1</v>
      </c>
      <c r="F6" s="28" t="n">
        <f aca="false">C6*D6*E6</f>
        <v>17600</v>
      </c>
      <c r="G6" s="14" t="n">
        <f aca="false">IF($F$27=0,0,F6/$F$27)</f>
        <v>0.234666666666667</v>
      </c>
      <c r="H6" s="3" t="s">
        <v>106</v>
      </c>
    </row>
    <row r="7" customFormat="false" ht="15" hidden="false" customHeight="false" outlineLevel="0" collapsed="false">
      <c r="A7" s="2" t="s">
        <v>102</v>
      </c>
      <c r="B7" s="2" t="s">
        <v>107</v>
      </c>
      <c r="C7" s="23" t="n">
        <v>1800</v>
      </c>
      <c r="D7" s="20" t="n">
        <v>5</v>
      </c>
      <c r="E7" s="27" t="n">
        <v>1</v>
      </c>
      <c r="F7" s="28" t="n">
        <f aca="false">C7*D7*E7</f>
        <v>9000</v>
      </c>
      <c r="G7" s="14" t="n">
        <f aca="false">IF($F$27=0,0,F7/$F$27)</f>
        <v>0.12</v>
      </c>
      <c r="H7" s="3" t="s">
        <v>108</v>
      </c>
    </row>
    <row r="8" customFormat="false" ht="15" hidden="false" customHeight="false" outlineLevel="0" collapsed="false">
      <c r="A8" s="2" t="s">
        <v>102</v>
      </c>
      <c r="B8" s="2" t="s">
        <v>109</v>
      </c>
      <c r="C8" s="23" t="n">
        <v>1000</v>
      </c>
      <c r="D8" s="20" t="n">
        <v>4</v>
      </c>
      <c r="E8" s="27" t="n">
        <v>0.5</v>
      </c>
      <c r="F8" s="28" t="n">
        <f aca="false">C8*D8*E8</f>
        <v>2000</v>
      </c>
      <c r="G8" s="14" t="n">
        <f aca="false">IF($F$27=0,0,F8/$F$27)</f>
        <v>0.0266666666666667</v>
      </c>
      <c r="H8" s="3" t="s">
        <v>110</v>
      </c>
    </row>
    <row r="9" customFormat="false" ht="15" hidden="false" customHeight="false" outlineLevel="0" collapsed="false">
      <c r="A9" s="2" t="s">
        <v>102</v>
      </c>
      <c r="B9" s="2" t="s">
        <v>111</v>
      </c>
      <c r="C9" s="23" t="n">
        <v>800</v>
      </c>
      <c r="D9" s="20" t="n">
        <v>3</v>
      </c>
      <c r="E9" s="27" t="n">
        <v>1</v>
      </c>
      <c r="F9" s="28" t="n">
        <f aca="false">C9*D9*E9</f>
        <v>2400</v>
      </c>
      <c r="G9" s="14" t="n">
        <f aca="false">IF($F$27=0,0,F9/$F$27)</f>
        <v>0.032</v>
      </c>
      <c r="H9" s="3" t="s">
        <v>112</v>
      </c>
    </row>
    <row r="10" customFormat="false" ht="15" hidden="false" customHeight="false" outlineLevel="0" collapsed="false">
      <c r="A10" s="2" t="s">
        <v>102</v>
      </c>
      <c r="B10" s="2" t="s">
        <v>113</v>
      </c>
      <c r="C10" s="23" t="n">
        <v>1500</v>
      </c>
      <c r="D10" s="20" t="n">
        <v>1</v>
      </c>
      <c r="E10" s="27" t="n">
        <v>1</v>
      </c>
      <c r="F10" s="28" t="n">
        <f aca="false">C10*D10*E10</f>
        <v>1500</v>
      </c>
      <c r="G10" s="14" t="n">
        <f aca="false">IF($F$27=0,0,F10/$F$27)</f>
        <v>0.02</v>
      </c>
      <c r="H10" s="3" t="s">
        <v>114</v>
      </c>
    </row>
    <row r="11" customFormat="false" ht="15" hidden="false" customHeight="false" outlineLevel="0" collapsed="false">
      <c r="A11" s="29"/>
      <c r="B11" s="30" t="s">
        <v>115</v>
      </c>
      <c r="C11" s="29"/>
      <c r="D11" s="29"/>
      <c r="E11" s="29"/>
      <c r="F11" s="31" t="n">
        <f aca="false">SUM(F5:F10)</f>
        <v>50500</v>
      </c>
      <c r="G11" s="32" t="n">
        <f aca="false">IF($F$27=0,0,F11/$F$27)</f>
        <v>0.673333333333333</v>
      </c>
      <c r="H11" s="29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15" hidden="false" customHeight="false" outlineLevel="0" collapsed="false">
      <c r="A13" s="2" t="s">
        <v>116</v>
      </c>
      <c r="B13" s="2" t="s">
        <v>117</v>
      </c>
      <c r="C13" s="2"/>
      <c r="D13" s="2"/>
      <c r="E13" s="2"/>
      <c r="F13" s="23" t="n">
        <v>600</v>
      </c>
      <c r="G13" s="14" t="n">
        <f aca="false">IF($F$27=0,0,F13/$F$27)</f>
        <v>0.008</v>
      </c>
      <c r="H13" s="3" t="s">
        <v>118</v>
      </c>
    </row>
    <row r="14" customFormat="false" ht="15" hidden="false" customHeight="false" outlineLevel="0" collapsed="false">
      <c r="A14" s="2" t="s">
        <v>116</v>
      </c>
      <c r="B14" s="2" t="s">
        <v>119</v>
      </c>
      <c r="C14" s="2"/>
      <c r="D14" s="2"/>
      <c r="E14" s="2"/>
      <c r="F14" s="23" t="n">
        <v>124</v>
      </c>
      <c r="G14" s="14" t="n">
        <f aca="false">IF($F$27=0,0,F14/$F$27)</f>
        <v>0.00165333333333333</v>
      </c>
      <c r="H14" s="3" t="s">
        <v>120</v>
      </c>
    </row>
    <row r="15" customFormat="false" ht="15" hidden="false" customHeight="false" outlineLevel="0" collapsed="false">
      <c r="A15" s="2" t="s">
        <v>116</v>
      </c>
      <c r="B15" s="2" t="s">
        <v>121</v>
      </c>
      <c r="C15" s="2"/>
      <c r="D15" s="2"/>
      <c r="E15" s="2"/>
      <c r="F15" s="23" t="n">
        <v>1500</v>
      </c>
      <c r="G15" s="14" t="n">
        <f aca="false">IF($F$27=0,0,F15/$F$27)</f>
        <v>0.02</v>
      </c>
      <c r="H15" s="3" t="s">
        <v>122</v>
      </c>
    </row>
    <row r="16" customFormat="false" ht="15" hidden="false" customHeight="false" outlineLevel="0" collapsed="false">
      <c r="A16" s="2" t="s">
        <v>116</v>
      </c>
      <c r="B16" s="2" t="s">
        <v>123</v>
      </c>
      <c r="C16" s="2"/>
      <c r="D16" s="2"/>
      <c r="E16" s="2"/>
      <c r="F16" s="23" t="n">
        <v>1500</v>
      </c>
      <c r="G16" s="14" t="n">
        <f aca="false">IF($F$27=0,0,F16/$F$27)</f>
        <v>0.02</v>
      </c>
      <c r="H16" s="3" t="s">
        <v>124</v>
      </c>
    </row>
    <row r="17" customFormat="false" ht="15" hidden="false" customHeight="false" outlineLevel="0" collapsed="false">
      <c r="A17" s="2" t="s">
        <v>125</v>
      </c>
      <c r="B17" s="2" t="s">
        <v>126</v>
      </c>
      <c r="C17" s="2"/>
      <c r="D17" s="2"/>
      <c r="E17" s="2"/>
      <c r="F17" s="23" t="n">
        <v>6000</v>
      </c>
      <c r="G17" s="14" t="n">
        <f aca="false">IF($F$27=0,0,F17/$F$27)</f>
        <v>0.08</v>
      </c>
      <c r="H17" s="3" t="s">
        <v>127</v>
      </c>
    </row>
    <row r="18" customFormat="false" ht="15" hidden="false" customHeight="false" outlineLevel="0" collapsed="false">
      <c r="A18" s="2" t="s">
        <v>125</v>
      </c>
      <c r="B18" s="2" t="s">
        <v>128</v>
      </c>
      <c r="C18" s="2"/>
      <c r="D18" s="2"/>
      <c r="E18" s="2"/>
      <c r="F18" s="23" t="n">
        <v>3000</v>
      </c>
      <c r="G18" s="14" t="n">
        <f aca="false">IF($F$27=0,0,F18/$F$27)</f>
        <v>0.04</v>
      </c>
      <c r="H18" s="3" t="s">
        <v>129</v>
      </c>
    </row>
    <row r="19" customFormat="false" ht="15" hidden="false" customHeight="false" outlineLevel="0" collapsed="false">
      <c r="A19" s="2" t="s">
        <v>125</v>
      </c>
      <c r="B19" s="2" t="s">
        <v>130</v>
      </c>
      <c r="C19" s="2"/>
      <c r="D19" s="2"/>
      <c r="E19" s="2"/>
      <c r="F19" s="23" t="n">
        <v>1500</v>
      </c>
      <c r="G19" s="14" t="n">
        <f aca="false">IF($F$27=0,0,F19/$F$27)</f>
        <v>0.02</v>
      </c>
      <c r="H19" s="3" t="s">
        <v>131</v>
      </c>
    </row>
    <row r="20" customFormat="false" ht="15" hidden="false" customHeight="false" outlineLevel="0" collapsed="false">
      <c r="A20" s="2" t="s">
        <v>125</v>
      </c>
      <c r="B20" s="2" t="s">
        <v>132</v>
      </c>
      <c r="C20" s="2"/>
      <c r="D20" s="2"/>
      <c r="E20" s="2"/>
      <c r="F20" s="23" t="n">
        <v>3000</v>
      </c>
      <c r="G20" s="14" t="n">
        <f aca="false">IF($F$27=0,0,F20/$F$27)</f>
        <v>0.04</v>
      </c>
      <c r="H20" s="3" t="s">
        <v>133</v>
      </c>
    </row>
    <row r="21" customFormat="false" ht="15" hidden="false" customHeight="false" outlineLevel="0" collapsed="false">
      <c r="A21" s="29"/>
      <c r="B21" s="30" t="s">
        <v>134</v>
      </c>
      <c r="C21" s="29"/>
      <c r="D21" s="29"/>
      <c r="E21" s="29"/>
      <c r="F21" s="31" t="n">
        <f aca="false">SUM(F13:F20)</f>
        <v>17224</v>
      </c>
      <c r="G21" s="32" t="n">
        <f aca="false">IF($F$27=0,0,F21/$F$27)</f>
        <v>0.229653333333333</v>
      </c>
      <c r="H21" s="29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</row>
    <row r="23" customFormat="false" ht="15" hidden="false" customHeight="false" outlineLevel="0" collapsed="false">
      <c r="A23" s="2"/>
      <c r="B23" s="2" t="s">
        <v>135</v>
      </c>
      <c r="C23" s="2"/>
      <c r="D23" s="2"/>
      <c r="E23" s="25" t="n">
        <v>0.1</v>
      </c>
      <c r="F23" s="2"/>
      <c r="G23" s="2"/>
      <c r="H23" s="3" t="s">
        <v>136</v>
      </c>
    </row>
    <row r="24" customFormat="false" ht="15" hidden="false" customHeight="false" outlineLevel="0" collapsed="false">
      <c r="A24" s="2" t="s">
        <v>41</v>
      </c>
      <c r="B24" s="2" t="s">
        <v>137</v>
      </c>
      <c r="C24" s="2"/>
      <c r="D24" s="2"/>
      <c r="E24" s="2"/>
      <c r="F24" s="28" t="n">
        <f aca="false">(F11+F21)*E23</f>
        <v>6772.4</v>
      </c>
      <c r="G24" s="14" t="n">
        <f aca="false">IF($F$27=0,0,F24/$F$27)</f>
        <v>0.0902986666666667</v>
      </c>
      <c r="H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</row>
    <row r="26" customFormat="false" ht="15" hidden="false" customHeight="false" outlineLevel="0" collapsed="false">
      <c r="A26" s="33"/>
      <c r="B26" s="34" t="s">
        <v>138</v>
      </c>
      <c r="C26" s="33"/>
      <c r="D26" s="33"/>
      <c r="E26" s="33"/>
      <c r="F26" s="35" t="n">
        <f aca="false">F11+F21+F24</f>
        <v>74496.4</v>
      </c>
      <c r="G26" s="36" t="n">
        <f aca="false">IF($F$27=0,0,F26/$F$27)</f>
        <v>0.993285333333333</v>
      </c>
      <c r="H26" s="33"/>
    </row>
    <row r="27" customFormat="false" ht="15" hidden="false" customHeight="false" outlineLevel="0" collapsed="false">
      <c r="A27" s="2"/>
      <c r="B27" s="2" t="s">
        <v>139</v>
      </c>
      <c r="C27" s="2"/>
      <c r="D27" s="2"/>
      <c r="E27" s="2"/>
      <c r="F27" s="6" t="n">
        <f aca="false">Assumptions!$D$5</f>
        <v>75000</v>
      </c>
      <c r="G27" s="2"/>
      <c r="H27" s="2"/>
    </row>
    <row r="28" customFormat="false" ht="15" hidden="false" customHeight="false" outlineLevel="0" collapsed="false">
      <c r="A28" s="2"/>
      <c r="B28" s="15" t="s">
        <v>140</v>
      </c>
      <c r="C28" s="2"/>
      <c r="D28" s="2"/>
      <c r="E28" s="2"/>
      <c r="F28" s="28" t="n">
        <f aca="false">F27-F26</f>
        <v>503.600000000006</v>
      </c>
      <c r="G28" s="15" t="str">
        <f aca="false">IF(F28&gt;=0,"OK — within budget","OVER BUDGET")</f>
        <v>OK — within budget</v>
      </c>
      <c r="H2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1"/>
    <col collapsed="false" customWidth="true" hidden="false" outlineLevel="0" max="6" min="3" style="0" width="14"/>
  </cols>
  <sheetData>
    <row r="1" customFormat="false" ht="17.35" hidden="false" customHeight="false" outlineLevel="0" collapsed="false">
      <c r="A1" s="1" t="s">
        <v>141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142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143</v>
      </c>
      <c r="B4" s="4" t="s">
        <v>14</v>
      </c>
      <c r="C4" s="4" t="s">
        <v>144</v>
      </c>
      <c r="D4" s="4" t="s">
        <v>145</v>
      </c>
      <c r="E4" s="4" t="s">
        <v>146</v>
      </c>
      <c r="F4" s="4" t="s">
        <v>147</v>
      </c>
    </row>
    <row r="5" customFormat="false" ht="15" hidden="false" customHeight="false" outlineLevel="0" collapsed="false">
      <c r="A5" s="2" t="s">
        <v>148</v>
      </c>
      <c r="B5" s="2" t="s">
        <v>16</v>
      </c>
      <c r="C5" s="37" t="n">
        <f aca="false">Assumptions!$C$20</f>
        <v>40000</v>
      </c>
      <c r="D5" s="38" t="n">
        <f aca="false">C5*(1+Assumptions!$C$21)</f>
        <v>44000</v>
      </c>
      <c r="E5" s="38" t="n">
        <f aca="false">D5*(1+Assumptions!$C$22)</f>
        <v>44000</v>
      </c>
      <c r="F5" s="39" t="n">
        <f aca="false">SUM(C5:E5)</f>
        <v>128000</v>
      </c>
    </row>
    <row r="6" customFormat="false" ht="15" hidden="false" customHeight="false" outlineLevel="0" collapsed="false">
      <c r="A6" s="2" t="s">
        <v>149</v>
      </c>
      <c r="B6" s="2" t="s">
        <v>16</v>
      </c>
      <c r="C6" s="38" t="n">
        <f aca="false">C5*Assumptions!$D$10</f>
        <v>20000</v>
      </c>
      <c r="D6" s="38" t="n">
        <f aca="false">D5*Assumptions!$D$10</f>
        <v>22000</v>
      </c>
      <c r="E6" s="38" t="n">
        <f aca="false">E5*Assumptions!$D$10</f>
        <v>22000</v>
      </c>
      <c r="F6" s="39" t="n">
        <f aca="false">SUM(C6:E6)</f>
        <v>64000</v>
      </c>
    </row>
    <row r="7" customFormat="false" ht="15" hidden="false" customHeight="false" outlineLevel="0" collapsed="false">
      <c r="A7" s="2" t="s">
        <v>150</v>
      </c>
      <c r="B7" s="2" t="s">
        <v>16</v>
      </c>
      <c r="C7" s="38" t="n">
        <f aca="false">C5-C6</f>
        <v>20000</v>
      </c>
      <c r="D7" s="38" t="n">
        <f aca="false">D5-D6</f>
        <v>22000</v>
      </c>
      <c r="E7" s="38" t="n">
        <f aca="false">E5-E6</f>
        <v>22000</v>
      </c>
      <c r="F7" s="39" t="n">
        <f aca="false">SUM(C7:E7)</f>
        <v>64000</v>
      </c>
    </row>
    <row r="8" customFormat="false" ht="15" hidden="false" customHeight="false" outlineLevel="0" collapsed="false">
      <c r="A8" s="2" t="s">
        <v>151</v>
      </c>
      <c r="B8" s="2" t="s">
        <v>16</v>
      </c>
      <c r="C8" s="38" t="n">
        <f aca="false">C5*Assumptions!$C$23</f>
        <v>600</v>
      </c>
      <c r="D8" s="38" t="n">
        <f aca="false">D5*Assumptions!$C$23</f>
        <v>660</v>
      </c>
      <c r="E8" s="38" t="n">
        <f aca="false">E5*Assumptions!$C$23</f>
        <v>660</v>
      </c>
      <c r="F8" s="39" t="n">
        <f aca="false">SUM(C8:E8)</f>
        <v>1920</v>
      </c>
    </row>
    <row r="9" customFormat="false" ht="15" hidden="false" customHeight="false" outlineLevel="0" collapsed="false">
      <c r="A9" s="2" t="s">
        <v>152</v>
      </c>
      <c r="B9" s="2" t="s">
        <v>21</v>
      </c>
      <c r="C9" s="40" t="n">
        <f aca="false">C8*Assumptions!$C$24*Assumptions!$D$7</f>
        <v>2691</v>
      </c>
      <c r="D9" s="40" t="n">
        <f aca="false">D8*Assumptions!$C$24*Assumptions!$D$7</f>
        <v>2960.1</v>
      </c>
      <c r="E9" s="40" t="n">
        <f aca="false">E8*Assumptions!$C$24*Assumptions!$D$7</f>
        <v>2960.1</v>
      </c>
      <c r="F9" s="28" t="n">
        <f aca="false">SUM(C9:E9)</f>
        <v>8611.2</v>
      </c>
    </row>
    <row r="10" customFormat="false" ht="15" hidden="false" customHeight="false" outlineLevel="0" collapsed="false">
      <c r="A10" s="2" t="s">
        <v>153</v>
      </c>
      <c r="B10" s="2" t="s">
        <v>21</v>
      </c>
      <c r="C10" s="40" t="n">
        <f aca="false">C7/1000*Assumptions!$C$25</f>
        <v>300</v>
      </c>
      <c r="D10" s="40" t="n">
        <f aca="false">D7/1000*Assumptions!$C$25</f>
        <v>330</v>
      </c>
      <c r="E10" s="40" t="n">
        <f aca="false">E7/1000*Assumptions!$C$25</f>
        <v>330</v>
      </c>
      <c r="F10" s="28" t="n">
        <f aca="false">SUM(C10:E10)</f>
        <v>960</v>
      </c>
    </row>
    <row r="11" customFormat="false" ht="15" hidden="false" customHeight="false" outlineLevel="0" collapsed="false">
      <c r="A11" s="2" t="s">
        <v>154</v>
      </c>
      <c r="B11" s="2" t="s">
        <v>19</v>
      </c>
      <c r="C11" s="37" t="n">
        <f aca="false">Assumptions!$C$26</f>
        <v>3</v>
      </c>
      <c r="D11" s="38" t="n">
        <f aca="false">ROUND(C11*(1+Assumptions!$C$27),0)</f>
        <v>5</v>
      </c>
      <c r="E11" s="38" t="n">
        <f aca="false">ROUND(D11*(1+Assumptions!$C$28),0)</f>
        <v>7</v>
      </c>
      <c r="F11" s="2"/>
    </row>
    <row r="12" customFormat="false" ht="15" hidden="false" customHeight="false" outlineLevel="0" collapsed="false">
      <c r="A12" s="2" t="s">
        <v>155</v>
      </c>
      <c r="B12" s="2" t="s">
        <v>21</v>
      </c>
      <c r="C12" s="40" t="n">
        <f aca="false">C11*Assumptions!$C$29</f>
        <v>4500</v>
      </c>
      <c r="D12" s="40" t="n">
        <f aca="false">D11*Assumptions!$C$29</f>
        <v>7500</v>
      </c>
      <c r="E12" s="40" t="n">
        <f aca="false">E11*Assumptions!$C$29</f>
        <v>10500</v>
      </c>
      <c r="F12" s="28" t="n">
        <f aca="false">SUM(C12:E12)</f>
        <v>22500</v>
      </c>
    </row>
    <row r="13" customFormat="false" ht="15" hidden="false" customHeight="false" outlineLevel="0" collapsed="false">
      <c r="A13" s="41" t="s">
        <v>156</v>
      </c>
      <c r="B13" s="41" t="s">
        <v>21</v>
      </c>
      <c r="C13" s="42" t="n">
        <f aca="false">C9+C10+C12</f>
        <v>7491</v>
      </c>
      <c r="D13" s="42" t="n">
        <f aca="false">D9+D10+D12</f>
        <v>10790.1</v>
      </c>
      <c r="E13" s="42" t="n">
        <f aca="false">E9+E10+E12</f>
        <v>13790.1</v>
      </c>
      <c r="F13" s="42" t="n">
        <f aca="false">SUM(C13:E13)</f>
        <v>32071.2</v>
      </c>
    </row>
    <row r="14" customFormat="false" ht="15" hidden="false" customHeight="false" outlineLevel="0" collapsed="false">
      <c r="A14" s="2" t="s">
        <v>157</v>
      </c>
      <c r="B14" s="2" t="s">
        <v>21</v>
      </c>
      <c r="C14" s="40" t="n">
        <f aca="false">-C9*(Assumptions!$D$10*Assumptions!$D$9+(1-Assumptions!$D$10)*Assumptions!$D$8)</f>
        <v>-336.375</v>
      </c>
      <c r="D14" s="40" t="n">
        <f aca="false">-D9*(Assumptions!$D$10*Assumptions!$D$9+(1-Assumptions!$D$10)*Assumptions!$D$8)</f>
        <v>-370.0125</v>
      </c>
      <c r="E14" s="40" t="n">
        <f aca="false">-E9*(Assumptions!$D$10*Assumptions!$D$9+(1-Assumptions!$D$10)*Assumptions!$D$8)</f>
        <v>-370.0125</v>
      </c>
      <c r="F14" s="28" t="n">
        <f aca="false">SUM(C14:E14)</f>
        <v>-1076.4</v>
      </c>
    </row>
    <row r="15" customFormat="false" ht="15" hidden="false" customHeight="false" outlineLevel="0" collapsed="false">
      <c r="A15" s="2" t="s">
        <v>158</v>
      </c>
      <c r="B15" s="2" t="s">
        <v>21</v>
      </c>
      <c r="C15" s="40" t="n">
        <f aca="false">-C12*Assumptions!$D$11</f>
        <v>-450</v>
      </c>
      <c r="D15" s="40" t="n">
        <f aca="false">-D12*Assumptions!$D$11</f>
        <v>-750</v>
      </c>
      <c r="E15" s="40" t="n">
        <f aca="false">-E12*Assumptions!$D$11</f>
        <v>-1050</v>
      </c>
      <c r="F15" s="28" t="n">
        <f aca="false">SUM(C15:E15)</f>
        <v>-2250</v>
      </c>
    </row>
    <row r="16" customFormat="false" ht="15" hidden="false" customHeight="false" outlineLevel="0" collapsed="false">
      <c r="A16" s="30" t="s">
        <v>159</v>
      </c>
      <c r="B16" s="30" t="s">
        <v>21</v>
      </c>
      <c r="C16" s="31" t="n">
        <f aca="false">C13+C14+C15</f>
        <v>6704.625</v>
      </c>
      <c r="D16" s="31" t="n">
        <f aca="false">D13+D14+D15</f>
        <v>9670.0875</v>
      </c>
      <c r="E16" s="31" t="n">
        <f aca="false">E13+E14+E15</f>
        <v>12370.0875</v>
      </c>
      <c r="F16" s="31" t="n">
        <f aca="false">SUM(C16:E16)</f>
        <v>28744.8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</row>
    <row r="18" customFormat="false" ht="15" hidden="false" customHeight="false" outlineLevel="0" collapsed="false">
      <c r="A18" s="4" t="s">
        <v>160</v>
      </c>
      <c r="B18" s="4" t="s">
        <v>14</v>
      </c>
      <c r="C18" s="4" t="s">
        <v>144</v>
      </c>
      <c r="D18" s="4" t="s">
        <v>145</v>
      </c>
      <c r="E18" s="4" t="s">
        <v>146</v>
      </c>
      <c r="F18" s="4" t="s">
        <v>147</v>
      </c>
    </row>
    <row r="19" customFormat="false" ht="15" hidden="false" customHeight="false" outlineLevel="0" collapsed="false">
      <c r="A19" s="2" t="s">
        <v>148</v>
      </c>
      <c r="B19" s="2" t="s">
        <v>16</v>
      </c>
      <c r="C19" s="37" t="n">
        <f aca="false">Assumptions!$D$20</f>
        <v>120000</v>
      </c>
      <c r="D19" s="38" t="n">
        <f aca="false">C19*(1+Assumptions!$D$21)</f>
        <v>168000</v>
      </c>
      <c r="E19" s="38" t="n">
        <f aca="false">D19*(1+Assumptions!$D$22)</f>
        <v>201600</v>
      </c>
      <c r="F19" s="39" t="n">
        <f aca="false">SUM(C19:E19)</f>
        <v>489600</v>
      </c>
    </row>
    <row r="20" customFormat="false" ht="15" hidden="false" customHeight="false" outlineLevel="0" collapsed="false">
      <c r="A20" s="2" t="s">
        <v>149</v>
      </c>
      <c r="B20" s="2" t="s">
        <v>16</v>
      </c>
      <c r="C20" s="38" t="n">
        <f aca="false">C19*Assumptions!$D$10</f>
        <v>60000</v>
      </c>
      <c r="D20" s="38" t="n">
        <f aca="false">D19*Assumptions!$D$10</f>
        <v>84000</v>
      </c>
      <c r="E20" s="38" t="n">
        <f aca="false">E19*Assumptions!$D$10</f>
        <v>100800</v>
      </c>
      <c r="F20" s="39" t="n">
        <f aca="false">SUM(C20:E20)</f>
        <v>244800</v>
      </c>
    </row>
    <row r="21" customFormat="false" ht="15" hidden="false" customHeight="false" outlineLevel="0" collapsed="false">
      <c r="A21" s="2" t="s">
        <v>150</v>
      </c>
      <c r="B21" s="2" t="s">
        <v>16</v>
      </c>
      <c r="C21" s="38" t="n">
        <f aca="false">C19-C20</f>
        <v>60000</v>
      </c>
      <c r="D21" s="38" t="n">
        <f aca="false">D19-D20</f>
        <v>84000</v>
      </c>
      <c r="E21" s="38" t="n">
        <f aca="false">E19-E20</f>
        <v>100800</v>
      </c>
      <c r="F21" s="39" t="n">
        <f aca="false">SUM(C21:E21)</f>
        <v>244800</v>
      </c>
    </row>
    <row r="22" customFormat="false" ht="15" hidden="false" customHeight="false" outlineLevel="0" collapsed="false">
      <c r="A22" s="2" t="s">
        <v>151</v>
      </c>
      <c r="B22" s="2" t="s">
        <v>16</v>
      </c>
      <c r="C22" s="38" t="n">
        <f aca="false">C19*Assumptions!$D$23</f>
        <v>3600</v>
      </c>
      <c r="D22" s="38" t="n">
        <f aca="false">D19*Assumptions!$D$23</f>
        <v>5040</v>
      </c>
      <c r="E22" s="38" t="n">
        <f aca="false">E19*Assumptions!$D$23</f>
        <v>6048</v>
      </c>
      <c r="F22" s="39" t="n">
        <f aca="false">SUM(C22:E22)</f>
        <v>14688</v>
      </c>
    </row>
    <row r="23" customFormat="false" ht="15" hidden="false" customHeight="false" outlineLevel="0" collapsed="false">
      <c r="A23" s="2" t="s">
        <v>152</v>
      </c>
      <c r="B23" s="2" t="s">
        <v>21</v>
      </c>
      <c r="C23" s="40" t="n">
        <f aca="false">C22*Assumptions!$D$24*Assumptions!$D$7</f>
        <v>21528</v>
      </c>
      <c r="D23" s="40" t="n">
        <f aca="false">D22*Assumptions!$D$24*Assumptions!$D$7</f>
        <v>30139.2</v>
      </c>
      <c r="E23" s="40" t="n">
        <f aca="false">E22*Assumptions!$D$24*Assumptions!$D$7</f>
        <v>36167.04</v>
      </c>
      <c r="F23" s="28" t="n">
        <f aca="false">SUM(C23:E23)</f>
        <v>87834.24</v>
      </c>
    </row>
    <row r="24" customFormat="false" ht="15" hidden="false" customHeight="false" outlineLevel="0" collapsed="false">
      <c r="A24" s="2" t="s">
        <v>153</v>
      </c>
      <c r="B24" s="2" t="s">
        <v>21</v>
      </c>
      <c r="C24" s="40" t="n">
        <f aca="false">C21/1000*Assumptions!$D$25</f>
        <v>1500</v>
      </c>
      <c r="D24" s="40" t="n">
        <f aca="false">D21/1000*Assumptions!$D$25</f>
        <v>2100</v>
      </c>
      <c r="E24" s="40" t="n">
        <f aca="false">E21/1000*Assumptions!$D$25</f>
        <v>2520</v>
      </c>
      <c r="F24" s="28" t="n">
        <f aca="false">SUM(C24:E24)</f>
        <v>6120</v>
      </c>
    </row>
    <row r="25" customFormat="false" ht="15" hidden="false" customHeight="false" outlineLevel="0" collapsed="false">
      <c r="A25" s="2" t="s">
        <v>154</v>
      </c>
      <c r="B25" s="2" t="s">
        <v>19</v>
      </c>
      <c r="C25" s="37" t="n">
        <f aca="false">Assumptions!$D$26</f>
        <v>8</v>
      </c>
      <c r="D25" s="38" t="n">
        <f aca="false">ROUND(C25*(1+Assumptions!$D$27),0)</f>
        <v>16</v>
      </c>
      <c r="E25" s="38" t="n">
        <f aca="false">ROUND(D25*(1+Assumptions!$D$28),0)</f>
        <v>26</v>
      </c>
      <c r="F25" s="2"/>
    </row>
    <row r="26" customFormat="false" ht="15" hidden="false" customHeight="false" outlineLevel="0" collapsed="false">
      <c r="A26" s="2" t="s">
        <v>155</v>
      </c>
      <c r="B26" s="2" t="s">
        <v>21</v>
      </c>
      <c r="C26" s="40" t="n">
        <f aca="false">C25*Assumptions!$D$29</f>
        <v>16000</v>
      </c>
      <c r="D26" s="40" t="n">
        <f aca="false">D25*Assumptions!$D$29</f>
        <v>32000</v>
      </c>
      <c r="E26" s="40" t="n">
        <f aca="false">E25*Assumptions!$D$29</f>
        <v>52000</v>
      </c>
      <c r="F26" s="28" t="n">
        <f aca="false">SUM(C26:E26)</f>
        <v>100000</v>
      </c>
    </row>
    <row r="27" customFormat="false" ht="15" hidden="false" customHeight="false" outlineLevel="0" collapsed="false">
      <c r="A27" s="41" t="s">
        <v>156</v>
      </c>
      <c r="B27" s="41" t="s">
        <v>21</v>
      </c>
      <c r="C27" s="42" t="n">
        <f aca="false">C23+C24+C26</f>
        <v>39028</v>
      </c>
      <c r="D27" s="42" t="n">
        <f aca="false">D23+D24+D26</f>
        <v>64239.2</v>
      </c>
      <c r="E27" s="42" t="n">
        <f aca="false">E23+E24+E26</f>
        <v>90687.04</v>
      </c>
      <c r="F27" s="42" t="n">
        <f aca="false">SUM(C27:E27)</f>
        <v>193954.24</v>
      </c>
    </row>
    <row r="28" customFormat="false" ht="15" hidden="false" customHeight="false" outlineLevel="0" collapsed="false">
      <c r="A28" s="2" t="s">
        <v>157</v>
      </c>
      <c r="B28" s="2" t="s">
        <v>21</v>
      </c>
      <c r="C28" s="40" t="n">
        <f aca="false">-C23*(Assumptions!$D$10*Assumptions!$D$9+(1-Assumptions!$D$10)*Assumptions!$D$8)</f>
        <v>-2691</v>
      </c>
      <c r="D28" s="40" t="n">
        <f aca="false">-D23*(Assumptions!$D$10*Assumptions!$D$9+(1-Assumptions!$D$10)*Assumptions!$D$8)</f>
        <v>-3767.4</v>
      </c>
      <c r="E28" s="40" t="n">
        <f aca="false">-E23*(Assumptions!$D$10*Assumptions!$D$9+(1-Assumptions!$D$10)*Assumptions!$D$8)</f>
        <v>-4520.88</v>
      </c>
      <c r="F28" s="28" t="n">
        <f aca="false">SUM(C28:E28)</f>
        <v>-10979.28</v>
      </c>
    </row>
    <row r="29" customFormat="false" ht="15" hidden="false" customHeight="false" outlineLevel="0" collapsed="false">
      <c r="A29" s="2" t="s">
        <v>158</v>
      </c>
      <c r="B29" s="2" t="s">
        <v>21</v>
      </c>
      <c r="C29" s="40" t="n">
        <f aca="false">-C26*Assumptions!$D$11</f>
        <v>-1600</v>
      </c>
      <c r="D29" s="40" t="n">
        <f aca="false">-D26*Assumptions!$D$11</f>
        <v>-3200</v>
      </c>
      <c r="E29" s="40" t="n">
        <f aca="false">-E26*Assumptions!$D$11</f>
        <v>-5200</v>
      </c>
      <c r="F29" s="28" t="n">
        <f aca="false">SUM(C29:E29)</f>
        <v>-10000</v>
      </c>
    </row>
    <row r="30" customFormat="false" ht="15" hidden="false" customHeight="false" outlineLevel="0" collapsed="false">
      <c r="A30" s="30" t="s">
        <v>159</v>
      </c>
      <c r="B30" s="30" t="s">
        <v>21</v>
      </c>
      <c r="C30" s="31" t="n">
        <f aca="false">C27+C28+C29</f>
        <v>34737</v>
      </c>
      <c r="D30" s="31" t="n">
        <f aca="false">D27+D28+D29</f>
        <v>57271.8</v>
      </c>
      <c r="E30" s="31" t="n">
        <f aca="false">E27+E28+E29</f>
        <v>80966.16</v>
      </c>
      <c r="F30" s="31" t="n">
        <f aca="false">SUM(C30:E30)</f>
        <v>172974.96</v>
      </c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</row>
    <row r="32" customFormat="false" ht="15" hidden="false" customHeight="false" outlineLevel="0" collapsed="false">
      <c r="A32" s="4" t="s">
        <v>161</v>
      </c>
      <c r="B32" s="4" t="s">
        <v>14</v>
      </c>
      <c r="C32" s="4" t="s">
        <v>144</v>
      </c>
      <c r="D32" s="4" t="s">
        <v>145</v>
      </c>
      <c r="E32" s="4" t="s">
        <v>146</v>
      </c>
      <c r="F32" s="4" t="s">
        <v>147</v>
      </c>
    </row>
    <row r="33" customFormat="false" ht="15" hidden="false" customHeight="false" outlineLevel="0" collapsed="false">
      <c r="A33" s="2" t="s">
        <v>148</v>
      </c>
      <c r="B33" s="2" t="s">
        <v>16</v>
      </c>
      <c r="C33" s="37" t="n">
        <f aca="false">Assumptions!$E$20</f>
        <v>300000</v>
      </c>
      <c r="D33" s="38" t="n">
        <f aca="false">C33*(1+Assumptions!$E$21)</f>
        <v>510000</v>
      </c>
      <c r="E33" s="38" t="n">
        <f aca="false">D33*(1+Assumptions!$E$22)</f>
        <v>714000</v>
      </c>
      <c r="F33" s="39" t="n">
        <f aca="false">SUM(C33:E33)</f>
        <v>1524000</v>
      </c>
    </row>
    <row r="34" customFormat="false" ht="15" hidden="false" customHeight="false" outlineLevel="0" collapsed="false">
      <c r="A34" s="2" t="s">
        <v>149</v>
      </c>
      <c r="B34" s="2" t="s">
        <v>16</v>
      </c>
      <c r="C34" s="38" t="n">
        <f aca="false">C33*Assumptions!$D$10</f>
        <v>150000</v>
      </c>
      <c r="D34" s="38" t="n">
        <f aca="false">D33*Assumptions!$D$10</f>
        <v>255000</v>
      </c>
      <c r="E34" s="38" t="n">
        <f aca="false">E33*Assumptions!$D$10</f>
        <v>357000</v>
      </c>
      <c r="F34" s="39" t="n">
        <f aca="false">SUM(C34:E34)</f>
        <v>762000</v>
      </c>
    </row>
    <row r="35" customFormat="false" ht="15" hidden="false" customHeight="false" outlineLevel="0" collapsed="false">
      <c r="A35" s="2" t="s">
        <v>150</v>
      </c>
      <c r="B35" s="2" t="s">
        <v>16</v>
      </c>
      <c r="C35" s="38" t="n">
        <f aca="false">C33-C34</f>
        <v>150000</v>
      </c>
      <c r="D35" s="38" t="n">
        <f aca="false">D33-D34</f>
        <v>255000</v>
      </c>
      <c r="E35" s="38" t="n">
        <f aca="false">E33-E34</f>
        <v>357000</v>
      </c>
      <c r="F35" s="39" t="n">
        <f aca="false">SUM(C35:E35)</f>
        <v>762000</v>
      </c>
    </row>
    <row r="36" customFormat="false" ht="15" hidden="false" customHeight="false" outlineLevel="0" collapsed="false">
      <c r="A36" s="2" t="s">
        <v>151</v>
      </c>
      <c r="B36" s="2" t="s">
        <v>16</v>
      </c>
      <c r="C36" s="38" t="n">
        <f aca="false">C33*Assumptions!$E$23</f>
        <v>15000</v>
      </c>
      <c r="D36" s="38" t="n">
        <f aca="false">D33*Assumptions!$E$23</f>
        <v>25500</v>
      </c>
      <c r="E36" s="38" t="n">
        <f aca="false">E33*Assumptions!$E$23</f>
        <v>35700</v>
      </c>
      <c r="F36" s="39" t="n">
        <f aca="false">SUM(C36:E36)</f>
        <v>76200</v>
      </c>
    </row>
    <row r="37" customFormat="false" ht="15" hidden="false" customHeight="false" outlineLevel="0" collapsed="false">
      <c r="A37" s="2" t="s">
        <v>152</v>
      </c>
      <c r="B37" s="2" t="s">
        <v>21</v>
      </c>
      <c r="C37" s="40" t="n">
        <f aca="false">C36*Assumptions!$E$24*Assumptions!$D$7</f>
        <v>112125</v>
      </c>
      <c r="D37" s="40" t="n">
        <f aca="false">D36*Assumptions!$E$24*Assumptions!$D$7</f>
        <v>190612.5</v>
      </c>
      <c r="E37" s="40" t="n">
        <f aca="false">E36*Assumptions!$E$24*Assumptions!$D$7</f>
        <v>266857.5</v>
      </c>
      <c r="F37" s="28" t="n">
        <f aca="false">SUM(C37:E37)</f>
        <v>569595</v>
      </c>
    </row>
    <row r="38" customFormat="false" ht="15" hidden="false" customHeight="false" outlineLevel="0" collapsed="false">
      <c r="A38" s="2" t="s">
        <v>153</v>
      </c>
      <c r="B38" s="2" t="s">
        <v>21</v>
      </c>
      <c r="C38" s="40" t="n">
        <f aca="false">C35/1000*Assumptions!$E$25</f>
        <v>6000</v>
      </c>
      <c r="D38" s="40" t="n">
        <f aca="false">D35/1000*Assumptions!$E$25</f>
        <v>10200</v>
      </c>
      <c r="E38" s="40" t="n">
        <f aca="false">E35/1000*Assumptions!$E$25</f>
        <v>14280</v>
      </c>
      <c r="F38" s="28" t="n">
        <f aca="false">SUM(C38:E38)</f>
        <v>30480</v>
      </c>
    </row>
    <row r="39" customFormat="false" ht="15" hidden="false" customHeight="false" outlineLevel="0" collapsed="false">
      <c r="A39" s="2" t="s">
        <v>154</v>
      </c>
      <c r="B39" s="2" t="s">
        <v>19</v>
      </c>
      <c r="C39" s="37" t="n">
        <f aca="false">Assumptions!$E$26</f>
        <v>15</v>
      </c>
      <c r="D39" s="38" t="n">
        <f aca="false">ROUND(C39*(1+Assumptions!$E$27),0)</f>
        <v>38</v>
      </c>
      <c r="E39" s="38" t="n">
        <f aca="false">ROUND(D39*(1+Assumptions!$E$28),0)</f>
        <v>76</v>
      </c>
      <c r="F39" s="2"/>
    </row>
    <row r="40" customFormat="false" ht="15" hidden="false" customHeight="false" outlineLevel="0" collapsed="false">
      <c r="A40" s="2" t="s">
        <v>155</v>
      </c>
      <c r="B40" s="2" t="s">
        <v>21</v>
      </c>
      <c r="C40" s="40" t="n">
        <f aca="false">C39*Assumptions!$E$29</f>
        <v>45000</v>
      </c>
      <c r="D40" s="40" t="n">
        <f aca="false">D39*Assumptions!$E$29</f>
        <v>114000</v>
      </c>
      <c r="E40" s="40" t="n">
        <f aca="false">E39*Assumptions!$E$29</f>
        <v>228000</v>
      </c>
      <c r="F40" s="28" t="n">
        <f aca="false">SUM(C40:E40)</f>
        <v>387000</v>
      </c>
    </row>
    <row r="41" customFormat="false" ht="15" hidden="false" customHeight="false" outlineLevel="0" collapsed="false">
      <c r="A41" s="41" t="s">
        <v>156</v>
      </c>
      <c r="B41" s="41" t="s">
        <v>21</v>
      </c>
      <c r="C41" s="42" t="n">
        <f aca="false">C37+C38+C40</f>
        <v>163125</v>
      </c>
      <c r="D41" s="42" t="n">
        <f aca="false">D37+D38+D40</f>
        <v>314812.5</v>
      </c>
      <c r="E41" s="42" t="n">
        <f aca="false">E37+E38+E40</f>
        <v>509137.5</v>
      </c>
      <c r="F41" s="42" t="n">
        <f aca="false">SUM(C41:E41)</f>
        <v>987075</v>
      </c>
    </row>
    <row r="42" customFormat="false" ht="15" hidden="false" customHeight="false" outlineLevel="0" collapsed="false">
      <c r="A42" s="2" t="s">
        <v>157</v>
      </c>
      <c r="B42" s="2" t="s">
        <v>21</v>
      </c>
      <c r="C42" s="40" t="n">
        <f aca="false">-C37*(Assumptions!$D$10*Assumptions!$D$9+(1-Assumptions!$D$10)*Assumptions!$D$8)</f>
        <v>-14015.625</v>
      </c>
      <c r="D42" s="40" t="n">
        <f aca="false">-D37*(Assumptions!$D$10*Assumptions!$D$9+(1-Assumptions!$D$10)*Assumptions!$D$8)</f>
        <v>-23826.5625</v>
      </c>
      <c r="E42" s="40" t="n">
        <f aca="false">-E37*(Assumptions!$D$10*Assumptions!$D$9+(1-Assumptions!$D$10)*Assumptions!$D$8)</f>
        <v>-33357.1875</v>
      </c>
      <c r="F42" s="28" t="n">
        <f aca="false">SUM(C42:E42)</f>
        <v>-71199.375</v>
      </c>
    </row>
    <row r="43" customFormat="false" ht="15" hidden="false" customHeight="false" outlineLevel="0" collapsed="false">
      <c r="A43" s="2" t="s">
        <v>158</v>
      </c>
      <c r="B43" s="2" t="s">
        <v>21</v>
      </c>
      <c r="C43" s="40" t="n">
        <f aca="false">-C40*Assumptions!$D$11</f>
        <v>-4500</v>
      </c>
      <c r="D43" s="40" t="n">
        <f aca="false">-D40*Assumptions!$D$11</f>
        <v>-11400</v>
      </c>
      <c r="E43" s="40" t="n">
        <f aca="false">-E40*Assumptions!$D$11</f>
        <v>-22800</v>
      </c>
      <c r="F43" s="28" t="n">
        <f aca="false">SUM(C43:E43)</f>
        <v>-38700</v>
      </c>
    </row>
    <row r="44" customFormat="false" ht="15" hidden="false" customHeight="false" outlineLevel="0" collapsed="false">
      <c r="A44" s="30" t="s">
        <v>159</v>
      </c>
      <c r="B44" s="30" t="s">
        <v>21</v>
      </c>
      <c r="C44" s="31" t="n">
        <f aca="false">C41+C42+C43</f>
        <v>144609.375</v>
      </c>
      <c r="D44" s="31" t="n">
        <f aca="false">D41+D42+D43</f>
        <v>279585.9375</v>
      </c>
      <c r="E44" s="31" t="n">
        <f aca="false">E41+E42+E43</f>
        <v>452980.3125</v>
      </c>
      <c r="F44" s="31" t="n">
        <f aca="false">SUM(C44:E44)</f>
        <v>877175.625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5"/>
    <col collapsed="false" customWidth="true" hidden="false" outlineLevel="0" max="6" min="3" style="0" width="14"/>
  </cols>
  <sheetData>
    <row r="1" customFormat="false" ht="17.35" hidden="false" customHeight="false" outlineLevel="0" collapsed="false">
      <c r="A1" s="1" t="s">
        <v>162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163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143</v>
      </c>
      <c r="B4" s="4" t="s">
        <v>164</v>
      </c>
      <c r="C4" s="4" t="s">
        <v>144</v>
      </c>
      <c r="D4" s="4" t="s">
        <v>145</v>
      </c>
      <c r="E4" s="4" t="s">
        <v>146</v>
      </c>
      <c r="F4" s="4" t="s">
        <v>165</v>
      </c>
    </row>
    <row r="5" customFormat="false" ht="15" hidden="false" customHeight="false" outlineLevel="0" collapsed="false">
      <c r="A5" s="15" t="s">
        <v>166</v>
      </c>
      <c r="B5" s="16" t="n">
        <v>0</v>
      </c>
      <c r="C5" s="16" t="n">
        <f aca="false">Revenue!C16</f>
        <v>6704.625</v>
      </c>
      <c r="D5" s="16" t="n">
        <f aca="false">Revenue!D16</f>
        <v>9670.0875</v>
      </c>
      <c r="E5" s="16" t="n">
        <f aca="false">Revenue!E16</f>
        <v>12370.0875</v>
      </c>
      <c r="F5" s="16" t="n">
        <f aca="false">SUM(B5:E5)</f>
        <v>28744.8</v>
      </c>
    </row>
    <row r="6" customFormat="false" ht="15" hidden="false" customHeight="false" outlineLevel="0" collapsed="false">
      <c r="A6" s="2" t="s">
        <v>167</v>
      </c>
      <c r="B6" s="6" t="n">
        <f aca="false">-'Development Cost'!$F$26</f>
        <v>-74496.4</v>
      </c>
      <c r="C6" s="40" t="n">
        <v>0</v>
      </c>
      <c r="D6" s="40" t="n">
        <v>0</v>
      </c>
      <c r="E6" s="40" t="n">
        <v>0</v>
      </c>
      <c r="F6" s="28" t="n">
        <f aca="false">SUM(B6:E6)</f>
        <v>-74496.4</v>
      </c>
    </row>
    <row r="7" customFormat="false" ht="15" hidden="false" customHeight="false" outlineLevel="0" collapsed="false">
      <c r="A7" s="2" t="s">
        <v>168</v>
      </c>
      <c r="B7" s="40" t="n">
        <v>0</v>
      </c>
      <c r="C7" s="6" t="n">
        <f aca="false">-Assumptions!$D$12</f>
        <v>-12000</v>
      </c>
      <c r="D7" s="6" t="n">
        <f aca="false">-Assumptions!$D$12</f>
        <v>-12000</v>
      </c>
      <c r="E7" s="6" t="n">
        <f aca="false">-Assumptions!$D$12</f>
        <v>-12000</v>
      </c>
      <c r="F7" s="28" t="n">
        <f aca="false">SUM(B7:E7)</f>
        <v>-36000</v>
      </c>
    </row>
    <row r="8" customFormat="false" ht="15" hidden="false" customHeight="false" outlineLevel="0" collapsed="false">
      <c r="A8" s="2" t="s">
        <v>169</v>
      </c>
      <c r="B8" s="40" t="n">
        <v>0</v>
      </c>
      <c r="C8" s="6" t="n">
        <f aca="false">-Assumptions!$D$13</f>
        <v>-6000</v>
      </c>
      <c r="D8" s="6" t="n">
        <f aca="false">-Assumptions!$D$13</f>
        <v>-6000</v>
      </c>
      <c r="E8" s="6" t="n">
        <f aca="false">-Assumptions!$D$13</f>
        <v>-6000</v>
      </c>
      <c r="F8" s="28" t="n">
        <f aca="false">SUM(B8:E8)</f>
        <v>-18000</v>
      </c>
    </row>
    <row r="9" customFormat="false" ht="15" hidden="false" customHeight="false" outlineLevel="0" collapsed="false">
      <c r="A9" s="2" t="s">
        <v>170</v>
      </c>
      <c r="B9" s="40" t="n">
        <v>0</v>
      </c>
      <c r="C9" s="6" t="n">
        <f aca="false">-Assumptions!$D$14</f>
        <v>-600</v>
      </c>
      <c r="D9" s="6" t="n">
        <f aca="false">-Assumptions!$D$14</f>
        <v>-600</v>
      </c>
      <c r="E9" s="6" t="n">
        <f aca="false">-Assumptions!$D$14</f>
        <v>-600</v>
      </c>
      <c r="F9" s="28" t="n">
        <f aca="false">SUM(B9:E9)</f>
        <v>-1800</v>
      </c>
    </row>
    <row r="10" customFormat="false" ht="15" hidden="false" customHeight="false" outlineLevel="0" collapsed="false">
      <c r="A10" s="2" t="s">
        <v>171</v>
      </c>
      <c r="B10" s="40" t="n">
        <v>0</v>
      </c>
      <c r="C10" s="40" t="n">
        <f aca="false">-Revenue!C11*Assumptions!$D$15</f>
        <v>-450</v>
      </c>
      <c r="D10" s="40" t="n">
        <f aca="false">-Revenue!D11*Assumptions!$D$15</f>
        <v>-750</v>
      </c>
      <c r="E10" s="40" t="n">
        <f aca="false">-Revenue!E11*Assumptions!$D$15</f>
        <v>-1050</v>
      </c>
      <c r="F10" s="28" t="n">
        <f aca="false">SUM(B10:E10)</f>
        <v>-2250</v>
      </c>
    </row>
    <row r="11" customFormat="false" ht="15" hidden="false" customHeight="false" outlineLevel="0" collapsed="false">
      <c r="A11" s="30" t="s">
        <v>172</v>
      </c>
      <c r="B11" s="31" t="n">
        <f aca="false">SUM(B6:B10)</f>
        <v>-74496.4</v>
      </c>
      <c r="C11" s="31" t="n">
        <f aca="false">SUM(C6:C10)</f>
        <v>-19050</v>
      </c>
      <c r="D11" s="31" t="n">
        <f aca="false">SUM(D6:D10)</f>
        <v>-19350</v>
      </c>
      <c r="E11" s="31" t="n">
        <f aca="false">SUM(E6:E10)</f>
        <v>-19650</v>
      </c>
      <c r="F11" s="31" t="n">
        <f aca="false">SUM(B11:E11)</f>
        <v>-132546.4</v>
      </c>
    </row>
    <row r="12" customFormat="false" ht="15" hidden="false" customHeight="false" outlineLevel="0" collapsed="false">
      <c r="A12" s="15" t="s">
        <v>173</v>
      </c>
      <c r="B12" s="16" t="n">
        <f aca="false">B5+B11</f>
        <v>-74496.4</v>
      </c>
      <c r="C12" s="16" t="n">
        <f aca="false">C5+C11</f>
        <v>-12345.375</v>
      </c>
      <c r="D12" s="16" t="n">
        <f aca="false">D5+D11</f>
        <v>-9679.9125</v>
      </c>
      <c r="E12" s="16" t="n">
        <f aca="false">E5+E11</f>
        <v>-7279.9125</v>
      </c>
      <c r="F12" s="16" t="n">
        <f aca="false">SUM(B12:E12)</f>
        <v>-103801.6</v>
      </c>
    </row>
    <row r="13" customFormat="false" ht="15" hidden="false" customHeight="false" outlineLevel="0" collapsed="false">
      <c r="A13" s="2" t="s">
        <v>174</v>
      </c>
      <c r="B13" s="40" t="n">
        <f aca="false">-MAX(0,B12)*Assumptions!$D$16</f>
        <v>-0</v>
      </c>
      <c r="C13" s="40" t="n">
        <f aca="false">-MAX(0,C12)*Assumptions!$D$16</f>
        <v>-0</v>
      </c>
      <c r="D13" s="40" t="n">
        <f aca="false">-MAX(0,D12)*Assumptions!$D$16</f>
        <v>-0</v>
      </c>
      <c r="E13" s="40" t="n">
        <f aca="false">-MAX(0,E12)*Assumptions!$D$16</f>
        <v>-0</v>
      </c>
      <c r="F13" s="28" t="n">
        <f aca="false">SUM(B13:E13)</f>
        <v>0</v>
      </c>
    </row>
    <row r="14" customFormat="false" ht="15" hidden="false" customHeight="false" outlineLevel="0" collapsed="false">
      <c r="A14" s="41" t="s">
        <v>175</v>
      </c>
      <c r="B14" s="42" t="n">
        <f aca="false">B12+B13</f>
        <v>-74496.4</v>
      </c>
      <c r="C14" s="42" t="n">
        <f aca="false">C12+C13</f>
        <v>-12345.375</v>
      </c>
      <c r="D14" s="42" t="n">
        <f aca="false">D12+D13</f>
        <v>-9679.9125</v>
      </c>
      <c r="E14" s="42" t="n">
        <f aca="false">E12+E13</f>
        <v>-7279.9125</v>
      </c>
      <c r="F14" s="42" t="n">
        <f aca="false">SUM(B14:E14)</f>
        <v>-103801.6</v>
      </c>
    </row>
    <row r="15" customFormat="false" ht="15" hidden="false" customHeight="false" outlineLevel="0" collapsed="false">
      <c r="A15" s="2" t="s">
        <v>176</v>
      </c>
      <c r="B15" s="40" t="n">
        <f aca="false">B14</f>
        <v>-74496.4</v>
      </c>
      <c r="C15" s="40" t="n">
        <f aca="false">B15+C14</f>
        <v>-86841.775</v>
      </c>
      <c r="D15" s="40" t="n">
        <f aca="false">C15+D14</f>
        <v>-96521.6875</v>
      </c>
      <c r="E15" s="40" t="n">
        <f aca="false">D15+E14</f>
        <v>-103801.6</v>
      </c>
      <c r="F15" s="2"/>
    </row>
    <row r="16" customFormat="false" ht="15" hidden="false" customHeight="false" outlineLevel="0" collapsed="false">
      <c r="A16" s="15" t="s">
        <v>177</v>
      </c>
      <c r="B16" s="15" t="str">
        <f aca="false">IF(C15&gt;=0,"Year 1",IF(D15&gt;=0,"Year 2",IF(E15&gt;=0,"Year 3","After Year 3")))</f>
        <v>After Year 3</v>
      </c>
      <c r="C16" s="2"/>
      <c r="D16" s="2"/>
      <c r="E16" s="2"/>
      <c r="F16" s="2"/>
    </row>
    <row r="17" customFormat="false" ht="15" hidden="false" customHeight="false" outlineLevel="0" collapsed="false">
      <c r="A17" s="15" t="s">
        <v>178</v>
      </c>
      <c r="B17" s="43" t="n">
        <f aca="false">IF('Development Cost'!$F$26=0,0,E15/'Development Cost'!$F$26)</f>
        <v>-1.39337739810246</v>
      </c>
      <c r="C17" s="2"/>
      <c r="D17" s="2"/>
      <c r="E17" s="2"/>
      <c r="F17" s="2"/>
    </row>
    <row r="18" customFormat="false" ht="15" hidden="false" customHeight="false" outlineLevel="0" collapsed="false">
      <c r="A18" s="15" t="s">
        <v>179</v>
      </c>
      <c r="B18" s="16" t="n">
        <f aca="false">B14+NPV(Assumptions!$D$17,C14:E14)</f>
        <v>-98417.5211535395</v>
      </c>
      <c r="C18" s="2"/>
      <c r="D18" s="2"/>
      <c r="E18" s="2"/>
      <c r="F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</row>
    <row r="20" customFormat="false" ht="15" hidden="false" customHeight="false" outlineLevel="0" collapsed="false">
      <c r="A20" s="4" t="s">
        <v>160</v>
      </c>
      <c r="B20" s="4" t="s">
        <v>164</v>
      </c>
      <c r="C20" s="4" t="s">
        <v>144</v>
      </c>
      <c r="D20" s="4" t="s">
        <v>145</v>
      </c>
      <c r="E20" s="4" t="s">
        <v>146</v>
      </c>
      <c r="F20" s="4" t="s">
        <v>165</v>
      </c>
    </row>
    <row r="21" customFormat="false" ht="15" hidden="false" customHeight="false" outlineLevel="0" collapsed="false">
      <c r="A21" s="15" t="s">
        <v>166</v>
      </c>
      <c r="B21" s="16" t="n">
        <v>0</v>
      </c>
      <c r="C21" s="16" t="n">
        <f aca="false">Revenue!C30</f>
        <v>34737</v>
      </c>
      <c r="D21" s="16" t="n">
        <f aca="false">Revenue!D30</f>
        <v>57271.8</v>
      </c>
      <c r="E21" s="16" t="n">
        <f aca="false">Revenue!E30</f>
        <v>80966.16</v>
      </c>
      <c r="F21" s="16" t="n">
        <f aca="false">SUM(B21:E21)</f>
        <v>172974.96</v>
      </c>
    </row>
    <row r="22" customFormat="false" ht="15" hidden="false" customHeight="false" outlineLevel="0" collapsed="false">
      <c r="A22" s="2" t="s">
        <v>167</v>
      </c>
      <c r="B22" s="6" t="n">
        <f aca="false">-'Development Cost'!$F$26</f>
        <v>-74496.4</v>
      </c>
      <c r="C22" s="40" t="n">
        <v>0</v>
      </c>
      <c r="D22" s="40" t="n">
        <v>0</v>
      </c>
      <c r="E22" s="40" t="n">
        <v>0</v>
      </c>
      <c r="F22" s="28" t="n">
        <f aca="false">SUM(B22:E22)</f>
        <v>-74496.4</v>
      </c>
    </row>
    <row r="23" customFormat="false" ht="15" hidden="false" customHeight="false" outlineLevel="0" collapsed="false">
      <c r="A23" s="2" t="s">
        <v>168</v>
      </c>
      <c r="B23" s="40" t="n">
        <v>0</v>
      </c>
      <c r="C23" s="6" t="n">
        <f aca="false">-Assumptions!$D$12</f>
        <v>-12000</v>
      </c>
      <c r="D23" s="6" t="n">
        <f aca="false">-Assumptions!$D$12</f>
        <v>-12000</v>
      </c>
      <c r="E23" s="6" t="n">
        <f aca="false">-Assumptions!$D$12</f>
        <v>-12000</v>
      </c>
      <c r="F23" s="28" t="n">
        <f aca="false">SUM(B23:E23)</f>
        <v>-36000</v>
      </c>
    </row>
    <row r="24" customFormat="false" ht="15" hidden="false" customHeight="false" outlineLevel="0" collapsed="false">
      <c r="A24" s="2" t="s">
        <v>169</v>
      </c>
      <c r="B24" s="40" t="n">
        <v>0</v>
      </c>
      <c r="C24" s="6" t="n">
        <f aca="false">-Assumptions!$D$13</f>
        <v>-6000</v>
      </c>
      <c r="D24" s="6" t="n">
        <f aca="false">-Assumptions!$D$13</f>
        <v>-6000</v>
      </c>
      <c r="E24" s="6" t="n">
        <f aca="false">-Assumptions!$D$13</f>
        <v>-6000</v>
      </c>
      <c r="F24" s="28" t="n">
        <f aca="false">SUM(B24:E24)</f>
        <v>-18000</v>
      </c>
    </row>
    <row r="25" customFormat="false" ht="15" hidden="false" customHeight="false" outlineLevel="0" collapsed="false">
      <c r="A25" s="2" t="s">
        <v>170</v>
      </c>
      <c r="B25" s="40" t="n">
        <v>0</v>
      </c>
      <c r="C25" s="6" t="n">
        <f aca="false">-Assumptions!$D$14</f>
        <v>-600</v>
      </c>
      <c r="D25" s="6" t="n">
        <f aca="false">-Assumptions!$D$14</f>
        <v>-600</v>
      </c>
      <c r="E25" s="6" t="n">
        <f aca="false">-Assumptions!$D$14</f>
        <v>-600</v>
      </c>
      <c r="F25" s="28" t="n">
        <f aca="false">SUM(B25:E25)</f>
        <v>-1800</v>
      </c>
    </row>
    <row r="26" customFormat="false" ht="15" hidden="false" customHeight="false" outlineLevel="0" collapsed="false">
      <c r="A26" s="2" t="s">
        <v>171</v>
      </c>
      <c r="B26" s="40" t="n">
        <v>0</v>
      </c>
      <c r="C26" s="40" t="n">
        <f aca="false">-Revenue!C25*Assumptions!$D$15</f>
        <v>-1200</v>
      </c>
      <c r="D26" s="40" t="n">
        <f aca="false">-Revenue!D25*Assumptions!$D$15</f>
        <v>-2400</v>
      </c>
      <c r="E26" s="40" t="n">
        <f aca="false">-Revenue!E25*Assumptions!$D$15</f>
        <v>-3900</v>
      </c>
      <c r="F26" s="28" t="n">
        <f aca="false">SUM(B26:E26)</f>
        <v>-7500</v>
      </c>
    </row>
    <row r="27" customFormat="false" ht="15" hidden="false" customHeight="false" outlineLevel="0" collapsed="false">
      <c r="A27" s="30" t="s">
        <v>172</v>
      </c>
      <c r="B27" s="31" t="n">
        <f aca="false">SUM(B22:B26)</f>
        <v>-74496.4</v>
      </c>
      <c r="C27" s="31" t="n">
        <f aca="false">SUM(C22:C26)</f>
        <v>-19800</v>
      </c>
      <c r="D27" s="31" t="n">
        <f aca="false">SUM(D22:D26)</f>
        <v>-21000</v>
      </c>
      <c r="E27" s="31" t="n">
        <f aca="false">SUM(E22:E26)</f>
        <v>-22500</v>
      </c>
      <c r="F27" s="31" t="n">
        <f aca="false">SUM(B27:E27)</f>
        <v>-137796.4</v>
      </c>
    </row>
    <row r="28" customFormat="false" ht="15" hidden="false" customHeight="false" outlineLevel="0" collapsed="false">
      <c r="A28" s="15" t="s">
        <v>173</v>
      </c>
      <c r="B28" s="16" t="n">
        <f aca="false">B21+B27</f>
        <v>-74496.4</v>
      </c>
      <c r="C28" s="16" t="n">
        <f aca="false">C21+C27</f>
        <v>14937</v>
      </c>
      <c r="D28" s="16" t="n">
        <f aca="false">D21+D27</f>
        <v>36271.8</v>
      </c>
      <c r="E28" s="16" t="n">
        <f aca="false">E21+E27</f>
        <v>58466.16</v>
      </c>
      <c r="F28" s="16" t="n">
        <f aca="false">SUM(B28:E28)</f>
        <v>35178.56</v>
      </c>
    </row>
    <row r="29" customFormat="false" ht="15" hidden="false" customHeight="false" outlineLevel="0" collapsed="false">
      <c r="A29" s="2" t="s">
        <v>174</v>
      </c>
      <c r="B29" s="40" t="n">
        <f aca="false">-MAX(0,B28)*Assumptions!$D$16</f>
        <v>-0</v>
      </c>
      <c r="C29" s="40" t="n">
        <f aca="false">-MAX(0,C28)*Assumptions!$D$16</f>
        <v>-1493.7</v>
      </c>
      <c r="D29" s="40" t="n">
        <f aca="false">-MAX(0,D28)*Assumptions!$D$16</f>
        <v>-3627.18</v>
      </c>
      <c r="E29" s="40" t="n">
        <f aca="false">-MAX(0,E28)*Assumptions!$D$16</f>
        <v>-5846.616</v>
      </c>
      <c r="F29" s="28" t="n">
        <f aca="false">SUM(B29:E29)</f>
        <v>-10967.496</v>
      </c>
    </row>
    <row r="30" customFormat="false" ht="15" hidden="false" customHeight="false" outlineLevel="0" collapsed="false">
      <c r="A30" s="41" t="s">
        <v>175</v>
      </c>
      <c r="B30" s="42" t="n">
        <f aca="false">B28+B29</f>
        <v>-74496.4</v>
      </c>
      <c r="C30" s="42" t="n">
        <f aca="false">C28+C29</f>
        <v>13443.3</v>
      </c>
      <c r="D30" s="42" t="n">
        <f aca="false">D28+D29</f>
        <v>32644.62</v>
      </c>
      <c r="E30" s="42" t="n">
        <f aca="false">E28+E29</f>
        <v>52619.544</v>
      </c>
      <c r="F30" s="42" t="n">
        <f aca="false">SUM(B30:E30)</f>
        <v>24211.064</v>
      </c>
    </row>
    <row r="31" customFormat="false" ht="15" hidden="false" customHeight="false" outlineLevel="0" collapsed="false">
      <c r="A31" s="2" t="s">
        <v>176</v>
      </c>
      <c r="B31" s="40" t="n">
        <f aca="false">B30</f>
        <v>-74496.4</v>
      </c>
      <c r="C31" s="40" t="n">
        <f aca="false">B31+C30</f>
        <v>-61053.1</v>
      </c>
      <c r="D31" s="40" t="n">
        <f aca="false">C31+D30</f>
        <v>-28408.48</v>
      </c>
      <c r="E31" s="40" t="n">
        <f aca="false">D31+E30</f>
        <v>24211.064</v>
      </c>
      <c r="F31" s="2"/>
    </row>
    <row r="32" customFormat="false" ht="15" hidden="false" customHeight="false" outlineLevel="0" collapsed="false">
      <c r="A32" s="15" t="s">
        <v>177</v>
      </c>
      <c r="B32" s="15" t="str">
        <f aca="false">IF(C31&gt;=0,"Year 1",IF(D31&gt;=0,"Year 2",IF(E31&gt;=0,"Year 3","After Year 3")))</f>
        <v>Year 3</v>
      </c>
      <c r="C32" s="2"/>
      <c r="D32" s="2"/>
      <c r="E32" s="2"/>
      <c r="F32" s="2"/>
    </row>
    <row r="33" customFormat="false" ht="15" hidden="false" customHeight="false" outlineLevel="0" collapsed="false">
      <c r="A33" s="15" t="s">
        <v>178</v>
      </c>
      <c r="B33" s="43" t="n">
        <f aca="false">IF('Development Cost'!$F$26=0,0,E31/'Development Cost'!$F$26)</f>
        <v>0.32499642935766</v>
      </c>
      <c r="C33" s="2"/>
      <c r="D33" s="2"/>
      <c r="E33" s="2"/>
      <c r="F33" s="2"/>
    </row>
    <row r="34" customFormat="false" ht="15" hidden="false" customHeight="false" outlineLevel="0" collapsed="false">
      <c r="A34" s="15" t="s">
        <v>179</v>
      </c>
      <c r="B34" s="16" t="n">
        <f aca="false">B30+NPV(Assumptions!$D$17,C30:E30)</f>
        <v>984.189695699693</v>
      </c>
      <c r="C34" s="2"/>
      <c r="D34" s="2"/>
      <c r="E34" s="2"/>
      <c r="F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</row>
    <row r="36" customFormat="false" ht="15" hidden="false" customHeight="false" outlineLevel="0" collapsed="false">
      <c r="A36" s="4" t="s">
        <v>161</v>
      </c>
      <c r="B36" s="4" t="s">
        <v>164</v>
      </c>
      <c r="C36" s="4" t="s">
        <v>144</v>
      </c>
      <c r="D36" s="4" t="s">
        <v>145</v>
      </c>
      <c r="E36" s="4" t="s">
        <v>146</v>
      </c>
      <c r="F36" s="4" t="s">
        <v>165</v>
      </c>
    </row>
    <row r="37" customFormat="false" ht="15" hidden="false" customHeight="false" outlineLevel="0" collapsed="false">
      <c r="A37" s="15" t="s">
        <v>166</v>
      </c>
      <c r="B37" s="16" t="n">
        <v>0</v>
      </c>
      <c r="C37" s="16" t="n">
        <f aca="false">Revenue!C44</f>
        <v>144609.375</v>
      </c>
      <c r="D37" s="16" t="n">
        <f aca="false">Revenue!D44</f>
        <v>279585.9375</v>
      </c>
      <c r="E37" s="16" t="n">
        <f aca="false">Revenue!E44</f>
        <v>452980.3125</v>
      </c>
      <c r="F37" s="16" t="n">
        <f aca="false">SUM(B37:E37)</f>
        <v>877175.625</v>
      </c>
    </row>
    <row r="38" customFormat="false" ht="15" hidden="false" customHeight="false" outlineLevel="0" collapsed="false">
      <c r="A38" s="2" t="s">
        <v>167</v>
      </c>
      <c r="B38" s="6" t="n">
        <f aca="false">-'Development Cost'!$F$26</f>
        <v>-74496.4</v>
      </c>
      <c r="C38" s="40" t="n">
        <v>0</v>
      </c>
      <c r="D38" s="40" t="n">
        <v>0</v>
      </c>
      <c r="E38" s="40" t="n">
        <v>0</v>
      </c>
      <c r="F38" s="28" t="n">
        <f aca="false">SUM(B38:E38)</f>
        <v>-74496.4</v>
      </c>
    </row>
    <row r="39" customFormat="false" ht="15" hidden="false" customHeight="false" outlineLevel="0" collapsed="false">
      <c r="A39" s="2" t="s">
        <v>168</v>
      </c>
      <c r="B39" s="40" t="n">
        <v>0</v>
      </c>
      <c r="C39" s="6" t="n">
        <f aca="false">-Assumptions!$D$12</f>
        <v>-12000</v>
      </c>
      <c r="D39" s="6" t="n">
        <f aca="false">-Assumptions!$D$12</f>
        <v>-12000</v>
      </c>
      <c r="E39" s="6" t="n">
        <f aca="false">-Assumptions!$D$12</f>
        <v>-12000</v>
      </c>
      <c r="F39" s="28" t="n">
        <f aca="false">SUM(B39:E39)</f>
        <v>-36000</v>
      </c>
    </row>
    <row r="40" customFormat="false" ht="15" hidden="false" customHeight="false" outlineLevel="0" collapsed="false">
      <c r="A40" s="2" t="s">
        <v>169</v>
      </c>
      <c r="B40" s="40" t="n">
        <v>0</v>
      </c>
      <c r="C40" s="6" t="n">
        <f aca="false">-Assumptions!$D$13</f>
        <v>-6000</v>
      </c>
      <c r="D40" s="6" t="n">
        <f aca="false">-Assumptions!$D$13</f>
        <v>-6000</v>
      </c>
      <c r="E40" s="6" t="n">
        <f aca="false">-Assumptions!$D$13</f>
        <v>-6000</v>
      </c>
      <c r="F40" s="28" t="n">
        <f aca="false">SUM(B40:E40)</f>
        <v>-18000</v>
      </c>
    </row>
    <row r="41" customFormat="false" ht="15" hidden="false" customHeight="false" outlineLevel="0" collapsed="false">
      <c r="A41" s="2" t="s">
        <v>170</v>
      </c>
      <c r="B41" s="40" t="n">
        <v>0</v>
      </c>
      <c r="C41" s="6" t="n">
        <f aca="false">-Assumptions!$D$14</f>
        <v>-600</v>
      </c>
      <c r="D41" s="6" t="n">
        <f aca="false">-Assumptions!$D$14</f>
        <v>-600</v>
      </c>
      <c r="E41" s="6" t="n">
        <f aca="false">-Assumptions!$D$14</f>
        <v>-600</v>
      </c>
      <c r="F41" s="28" t="n">
        <f aca="false">SUM(B41:E41)</f>
        <v>-1800</v>
      </c>
    </row>
    <row r="42" customFormat="false" ht="15" hidden="false" customHeight="false" outlineLevel="0" collapsed="false">
      <c r="A42" s="2" t="s">
        <v>171</v>
      </c>
      <c r="B42" s="40" t="n">
        <v>0</v>
      </c>
      <c r="C42" s="40" t="n">
        <f aca="false">-Revenue!C39*Assumptions!$D$15</f>
        <v>-2250</v>
      </c>
      <c r="D42" s="40" t="n">
        <f aca="false">-Revenue!D39*Assumptions!$D$15</f>
        <v>-5700</v>
      </c>
      <c r="E42" s="40" t="n">
        <f aca="false">-Revenue!E39*Assumptions!$D$15</f>
        <v>-11400</v>
      </c>
      <c r="F42" s="28" t="n">
        <f aca="false">SUM(B42:E42)</f>
        <v>-19350</v>
      </c>
    </row>
    <row r="43" customFormat="false" ht="15" hidden="false" customHeight="false" outlineLevel="0" collapsed="false">
      <c r="A43" s="30" t="s">
        <v>172</v>
      </c>
      <c r="B43" s="31" t="n">
        <f aca="false">SUM(B38:B42)</f>
        <v>-74496.4</v>
      </c>
      <c r="C43" s="31" t="n">
        <f aca="false">SUM(C38:C42)</f>
        <v>-20850</v>
      </c>
      <c r="D43" s="31" t="n">
        <f aca="false">SUM(D38:D42)</f>
        <v>-24300</v>
      </c>
      <c r="E43" s="31" t="n">
        <f aca="false">SUM(E38:E42)</f>
        <v>-30000</v>
      </c>
      <c r="F43" s="31" t="n">
        <f aca="false">SUM(B43:E43)</f>
        <v>-149646.4</v>
      </c>
    </row>
    <row r="44" customFormat="false" ht="15" hidden="false" customHeight="false" outlineLevel="0" collapsed="false">
      <c r="A44" s="15" t="s">
        <v>173</v>
      </c>
      <c r="B44" s="16" t="n">
        <f aca="false">B37+B43</f>
        <v>-74496.4</v>
      </c>
      <c r="C44" s="16" t="n">
        <f aca="false">C37+C43</f>
        <v>123759.375</v>
      </c>
      <c r="D44" s="16" t="n">
        <f aca="false">D37+D43</f>
        <v>255285.9375</v>
      </c>
      <c r="E44" s="16" t="n">
        <f aca="false">E37+E43</f>
        <v>422980.3125</v>
      </c>
      <c r="F44" s="16" t="n">
        <f aca="false">SUM(B44:E44)</f>
        <v>727529.225</v>
      </c>
    </row>
    <row r="45" customFormat="false" ht="15" hidden="false" customHeight="false" outlineLevel="0" collapsed="false">
      <c r="A45" s="2" t="s">
        <v>174</v>
      </c>
      <c r="B45" s="40" t="n">
        <f aca="false">-MAX(0,B44)*Assumptions!$D$16</f>
        <v>-0</v>
      </c>
      <c r="C45" s="40" t="n">
        <f aca="false">-MAX(0,C44)*Assumptions!$D$16</f>
        <v>-12375.9375</v>
      </c>
      <c r="D45" s="40" t="n">
        <f aca="false">-MAX(0,D44)*Assumptions!$D$16</f>
        <v>-25528.59375</v>
      </c>
      <c r="E45" s="40" t="n">
        <f aca="false">-MAX(0,E44)*Assumptions!$D$16</f>
        <v>-42298.03125</v>
      </c>
      <c r="F45" s="28" t="n">
        <f aca="false">SUM(B45:E45)</f>
        <v>-80202.5625</v>
      </c>
    </row>
    <row r="46" customFormat="false" ht="15" hidden="false" customHeight="false" outlineLevel="0" collapsed="false">
      <c r="A46" s="41" t="s">
        <v>175</v>
      </c>
      <c r="B46" s="42" t="n">
        <f aca="false">B44+B45</f>
        <v>-74496.4</v>
      </c>
      <c r="C46" s="42" t="n">
        <f aca="false">C44+C45</f>
        <v>111383.4375</v>
      </c>
      <c r="D46" s="42" t="n">
        <f aca="false">D44+D45</f>
        <v>229757.34375</v>
      </c>
      <c r="E46" s="42" t="n">
        <f aca="false">E44+E45</f>
        <v>380682.28125</v>
      </c>
      <c r="F46" s="42" t="n">
        <f aca="false">SUM(B46:E46)</f>
        <v>647326.6625</v>
      </c>
    </row>
    <row r="47" customFormat="false" ht="15" hidden="false" customHeight="false" outlineLevel="0" collapsed="false">
      <c r="A47" s="2" t="s">
        <v>176</v>
      </c>
      <c r="B47" s="40" t="n">
        <f aca="false">B46</f>
        <v>-74496.4</v>
      </c>
      <c r="C47" s="40" t="n">
        <f aca="false">B47+C46</f>
        <v>36887.0375</v>
      </c>
      <c r="D47" s="40" t="n">
        <f aca="false">C47+D46</f>
        <v>266644.38125</v>
      </c>
      <c r="E47" s="40" t="n">
        <f aca="false">D47+E46</f>
        <v>647326.6625</v>
      </c>
      <c r="F47" s="2"/>
    </row>
    <row r="48" customFormat="false" ht="15" hidden="false" customHeight="false" outlineLevel="0" collapsed="false">
      <c r="A48" s="15" t="s">
        <v>177</v>
      </c>
      <c r="B48" s="15" t="str">
        <f aca="false">IF(C47&gt;=0,"Year 1",IF(D47&gt;=0,"Year 2",IF(E47&gt;=0,"Year 3","After Year 3")))</f>
        <v>Year 1</v>
      </c>
      <c r="C48" s="2"/>
      <c r="D48" s="2"/>
      <c r="E48" s="2"/>
      <c r="F48" s="2"/>
    </row>
    <row r="49" customFormat="false" ht="15" hidden="false" customHeight="false" outlineLevel="0" collapsed="false">
      <c r="A49" s="15" t="s">
        <v>178</v>
      </c>
      <c r="B49" s="43" t="n">
        <f aca="false">IF('Development Cost'!$F$26=0,0,E47/'Development Cost'!$F$26)</f>
        <v>8.68936837887468</v>
      </c>
      <c r="C49" s="2"/>
      <c r="D49" s="2"/>
      <c r="E49" s="2"/>
      <c r="F49" s="2"/>
    </row>
    <row r="50" customFormat="false" ht="15" hidden="false" customHeight="false" outlineLevel="0" collapsed="false">
      <c r="A50" s="15" t="s">
        <v>179</v>
      </c>
      <c r="B50" s="16" t="n">
        <f aca="false">B46+NPV(Assumptions!$D$17,C46:E46)</f>
        <v>479076.374014042</v>
      </c>
      <c r="C50" s="2"/>
      <c r="D50" s="2"/>
      <c r="E50" s="2"/>
      <c r="F5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6"/>
    <col collapsed="false" customWidth="true" hidden="false" outlineLevel="0" max="3" min="3" style="0" width="64"/>
  </cols>
  <sheetData>
    <row r="1" customFormat="false" ht="17.35" hidden="false" customHeight="false" outlineLevel="0" collapsed="false">
      <c r="A1" s="1" t="s">
        <v>180</v>
      </c>
      <c r="B1" s="2"/>
      <c r="C1" s="2"/>
    </row>
    <row r="2" customFormat="false" ht="15" hidden="false" customHeight="false" outlineLevel="0" collapsed="false">
      <c r="A2" s="3" t="s">
        <v>181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182</v>
      </c>
      <c r="B4" s="4" t="s">
        <v>3</v>
      </c>
      <c r="C4" s="4" t="s">
        <v>45</v>
      </c>
    </row>
    <row r="5" customFormat="false" ht="15" hidden="false" customHeight="false" outlineLevel="0" collapsed="false">
      <c r="A5" s="2" t="s">
        <v>183</v>
      </c>
      <c r="B5" s="24" t="n">
        <v>70000000</v>
      </c>
      <c r="C5" s="3" t="s">
        <v>184</v>
      </c>
    </row>
    <row r="6" customFormat="false" ht="15" hidden="false" customHeight="false" outlineLevel="0" collapsed="false">
      <c r="A6" s="2" t="s">
        <v>185</v>
      </c>
      <c r="B6" s="22" t="n">
        <v>0.75</v>
      </c>
      <c r="C6" s="3" t="s">
        <v>186</v>
      </c>
    </row>
    <row r="7" customFormat="false" ht="15" hidden="false" customHeight="false" outlineLevel="0" collapsed="false">
      <c r="A7" s="15" t="s">
        <v>187</v>
      </c>
      <c r="B7" s="44" t="n">
        <f aca="false">B5*B6</f>
        <v>52500000</v>
      </c>
      <c r="C7" s="3" t="s">
        <v>188</v>
      </c>
    </row>
    <row r="8" customFormat="false" ht="15" hidden="false" customHeight="false" outlineLevel="0" collapsed="false">
      <c r="A8" s="2" t="s">
        <v>189</v>
      </c>
      <c r="B8" s="22" t="n">
        <v>0.1</v>
      </c>
      <c r="C8" s="3" t="s">
        <v>190</v>
      </c>
    </row>
    <row r="9" customFormat="false" ht="15" hidden="false" customHeight="false" outlineLevel="0" collapsed="false">
      <c r="A9" s="15" t="s">
        <v>191</v>
      </c>
      <c r="B9" s="44" t="n">
        <f aca="false">B7*B8</f>
        <v>5250000</v>
      </c>
      <c r="C9" s="3" t="s">
        <v>192</v>
      </c>
    </row>
    <row r="10" customFormat="false" ht="15" hidden="false" customHeight="false" outlineLevel="0" collapsed="false">
      <c r="A10" s="2" t="s">
        <v>193</v>
      </c>
      <c r="B10" s="25" t="n">
        <v>0.023</v>
      </c>
      <c r="C10" s="3" t="s">
        <v>194</v>
      </c>
    </row>
    <row r="11" customFormat="false" ht="15" hidden="false" customHeight="false" outlineLevel="0" collapsed="false">
      <c r="A11" s="15" t="s">
        <v>195</v>
      </c>
      <c r="B11" s="44" t="n">
        <f aca="false">B9*B10</f>
        <v>120750</v>
      </c>
      <c r="C11" s="3" t="s">
        <v>196</v>
      </c>
    </row>
    <row r="12" customFormat="false" ht="15" hidden="false" customHeight="false" outlineLevel="0" collapsed="false">
      <c r="A12" s="2" t="s">
        <v>197</v>
      </c>
      <c r="B12" s="37" t="n">
        <f aca="false">Assumptions!$D$20</f>
        <v>120000</v>
      </c>
      <c r="C12" s="2"/>
    </row>
    <row r="13" customFormat="false" ht="15" hidden="false" customHeight="false" outlineLevel="0" collapsed="false">
      <c r="A13" s="2"/>
      <c r="B13" s="2"/>
      <c r="C13" s="2"/>
    </row>
    <row r="14" customFormat="false" ht="15" hidden="false" customHeight="false" outlineLevel="0" collapsed="false">
      <c r="A14" s="4" t="s">
        <v>198</v>
      </c>
      <c r="B14" s="4" t="s">
        <v>3</v>
      </c>
      <c r="C14" s="4" t="s">
        <v>45</v>
      </c>
    </row>
    <row r="15" customFormat="false" ht="15" hidden="false" customHeight="false" outlineLevel="0" collapsed="false">
      <c r="A15" s="2" t="s">
        <v>199</v>
      </c>
      <c r="B15" s="20" t="n">
        <v>24000</v>
      </c>
      <c r="C15" s="3" t="s">
        <v>200</v>
      </c>
    </row>
    <row r="16" customFormat="false" ht="15" hidden="false" customHeight="false" outlineLevel="0" collapsed="false">
      <c r="A16" s="2" t="s">
        <v>201</v>
      </c>
      <c r="B16" s="20" t="n">
        <v>4500</v>
      </c>
      <c r="C16" s="3" t="s">
        <v>202</v>
      </c>
    </row>
    <row r="17" customFormat="false" ht="15" hidden="false" customHeight="false" outlineLevel="0" collapsed="false">
      <c r="A17" s="2" t="s">
        <v>203</v>
      </c>
      <c r="B17" s="20" t="n">
        <v>2000</v>
      </c>
      <c r="C17" s="3" t="s">
        <v>204</v>
      </c>
    </row>
    <row r="18" customFormat="false" ht="15" hidden="false" customHeight="false" outlineLevel="0" collapsed="false">
      <c r="A18" s="15" t="s">
        <v>205</v>
      </c>
      <c r="B18" s="44" t="n">
        <f aca="false">SUM(B15:B17)</f>
        <v>30500</v>
      </c>
      <c r="C18" s="2"/>
    </row>
    <row r="19" customFormat="false" ht="15" hidden="false" customHeight="false" outlineLevel="0" collapsed="false">
      <c r="A19" s="15" t="s">
        <v>206</v>
      </c>
      <c r="B19" s="16" t="n">
        <f aca="false">B18*Assumptions!$D$29</f>
        <v>61000000</v>
      </c>
      <c r="C19" s="2"/>
    </row>
    <row r="20" customFormat="false" ht="15" hidden="false" customHeight="false" outlineLevel="0" collapsed="false">
      <c r="A20" s="2" t="s">
        <v>207</v>
      </c>
      <c r="B20" s="37" t="n">
        <f aca="false">Revenue!E25</f>
        <v>26</v>
      </c>
      <c r="C20" s="2"/>
    </row>
    <row r="21" customFormat="false" ht="15" hidden="false" customHeight="false" outlineLevel="0" collapsed="false">
      <c r="A21" s="2" t="s">
        <v>208</v>
      </c>
      <c r="B21" s="45" t="n">
        <f aca="false">IF(B18=0,0,B20/B18)</f>
        <v>0.000852459016393443</v>
      </c>
      <c r="C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4"/>
    <col collapsed="false" customWidth="true" hidden="false" outlineLevel="0" max="4" min="3" style="0" width="11"/>
    <col collapsed="false" customWidth="true" hidden="false" outlineLevel="0" max="19" min="5" style="0" width="5"/>
  </cols>
  <sheetData>
    <row r="1" customFormat="false" ht="17.35" hidden="false" customHeight="false" outlineLevel="0" collapsed="false">
      <c r="A1" s="1" t="s">
        <v>209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false" outlineLevel="0" collapsed="false">
      <c r="A2" s="3" t="s">
        <v>210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26.85" hidden="false" customHeight="false" outlineLevel="0" collapsed="false">
      <c r="A4" s="4" t="s">
        <v>211</v>
      </c>
      <c r="B4" s="4" t="s">
        <v>212</v>
      </c>
      <c r="C4" s="4" t="s">
        <v>213</v>
      </c>
      <c r="D4" s="4" t="s">
        <v>214</v>
      </c>
      <c r="E4" s="4" t="s">
        <v>215</v>
      </c>
      <c r="F4" s="4" t="s">
        <v>216</v>
      </c>
      <c r="G4" s="4" t="s">
        <v>217</v>
      </c>
      <c r="H4" s="4" t="s">
        <v>218</v>
      </c>
      <c r="I4" s="4" t="s">
        <v>219</v>
      </c>
      <c r="J4" s="4" t="s">
        <v>220</v>
      </c>
      <c r="K4" s="4" t="s">
        <v>221</v>
      </c>
      <c r="L4" s="4" t="s">
        <v>222</v>
      </c>
      <c r="M4" s="4" t="s">
        <v>223</v>
      </c>
      <c r="N4" s="4" t="s">
        <v>224</v>
      </c>
      <c r="O4" s="4" t="s">
        <v>225</v>
      </c>
      <c r="P4" s="4" t="s">
        <v>226</v>
      </c>
      <c r="Q4" s="4" t="s">
        <v>227</v>
      </c>
      <c r="R4" s="4" t="s">
        <v>228</v>
      </c>
      <c r="S4" s="4" t="s">
        <v>229</v>
      </c>
    </row>
    <row r="5" customFormat="false" ht="15" hidden="false" customHeight="false" outlineLevel="0" collapsed="false">
      <c r="A5" s="18" t="s">
        <v>230</v>
      </c>
      <c r="B5" s="3" t="s">
        <v>231</v>
      </c>
      <c r="C5" s="46" t="n">
        <v>1</v>
      </c>
      <c r="D5" s="46" t="n">
        <v>2</v>
      </c>
      <c r="E5" s="47" t="str">
        <f aca="false">IF(AND(1&gt;=$C5,1&lt;$C5+$D5),"■","")</f>
        <v>■</v>
      </c>
      <c r="F5" s="47" t="str">
        <f aca="false">IF(AND(2&gt;=$C5,2&lt;$C5+$D5),"■","")</f>
        <v>■</v>
      </c>
      <c r="G5" s="47" t="str">
        <f aca="false">IF(AND(3&gt;=$C5,3&lt;$C5+$D5),"■","")</f>
        <v/>
      </c>
      <c r="H5" s="47" t="str">
        <f aca="false">IF(AND(4&gt;=$C5,4&lt;$C5+$D5),"■","")</f>
        <v/>
      </c>
      <c r="I5" s="47" t="str">
        <f aca="false">IF(AND(5&gt;=$C5,5&lt;$C5+$D5),"■","")</f>
        <v/>
      </c>
      <c r="J5" s="47" t="str">
        <f aca="false">IF(AND(6&gt;=$C5,6&lt;$C5+$D5),"■","")</f>
        <v/>
      </c>
      <c r="K5" s="47" t="str">
        <f aca="false">IF(AND(7&gt;=$C5,7&lt;$C5+$D5),"■","")</f>
        <v/>
      </c>
      <c r="L5" s="47" t="str">
        <f aca="false">IF(AND(8&gt;=$C5,8&lt;$C5+$D5),"■","")</f>
        <v/>
      </c>
      <c r="M5" s="47" t="str">
        <f aca="false">IF(AND(9&gt;=$C5,9&lt;$C5+$D5),"■","")</f>
        <v/>
      </c>
      <c r="N5" s="47" t="str">
        <f aca="false">IF(AND(10&gt;=$C5,10&lt;$C5+$D5),"■","")</f>
        <v/>
      </c>
      <c r="O5" s="47" t="str">
        <f aca="false">IF(AND(11&gt;=$C5,11&lt;$C5+$D5),"■","")</f>
        <v/>
      </c>
      <c r="P5" s="47" t="str">
        <f aca="false">IF(AND(12&gt;=$C5,12&lt;$C5+$D5),"■","")</f>
        <v/>
      </c>
      <c r="Q5" s="47" t="str">
        <f aca="false">IF(AND(13&gt;=$C5,13&lt;$C5+$D5),"■","")</f>
        <v/>
      </c>
      <c r="R5" s="47" t="str">
        <f aca="false">IF(AND(14&gt;=$C5,14&lt;$C5+$D5),"■","")</f>
        <v/>
      </c>
      <c r="S5" s="47" t="str">
        <f aca="false">IF(AND(15&gt;=$C5,15&lt;$C5+$D5),"■","")</f>
        <v/>
      </c>
    </row>
    <row r="6" customFormat="false" ht="15" hidden="false" customHeight="false" outlineLevel="0" collapsed="false">
      <c r="A6" s="18" t="s">
        <v>232</v>
      </c>
      <c r="B6" s="3" t="s">
        <v>233</v>
      </c>
      <c r="C6" s="46" t="n">
        <v>3</v>
      </c>
      <c r="D6" s="46" t="n">
        <v>2</v>
      </c>
      <c r="E6" s="47" t="str">
        <f aca="false">IF(AND(1&gt;=$C6,1&lt;$C6+$D6),"■","")</f>
        <v/>
      </c>
      <c r="F6" s="47" t="str">
        <f aca="false">IF(AND(2&gt;=$C6,2&lt;$C6+$D6),"■","")</f>
        <v/>
      </c>
      <c r="G6" s="47" t="str">
        <f aca="false">IF(AND(3&gt;=$C6,3&lt;$C6+$D6),"■","")</f>
        <v>■</v>
      </c>
      <c r="H6" s="47" t="str">
        <f aca="false">IF(AND(4&gt;=$C6,4&lt;$C6+$D6),"■","")</f>
        <v>■</v>
      </c>
      <c r="I6" s="47" t="str">
        <f aca="false">IF(AND(5&gt;=$C6,5&lt;$C6+$D6),"■","")</f>
        <v/>
      </c>
      <c r="J6" s="47" t="str">
        <f aca="false">IF(AND(6&gt;=$C6,6&lt;$C6+$D6),"■","")</f>
        <v/>
      </c>
      <c r="K6" s="47" t="str">
        <f aca="false">IF(AND(7&gt;=$C6,7&lt;$C6+$D6),"■","")</f>
        <v/>
      </c>
      <c r="L6" s="47" t="str">
        <f aca="false">IF(AND(8&gt;=$C6,8&lt;$C6+$D6),"■","")</f>
        <v/>
      </c>
      <c r="M6" s="47" t="str">
        <f aca="false">IF(AND(9&gt;=$C6,9&lt;$C6+$D6),"■","")</f>
        <v/>
      </c>
      <c r="N6" s="47" t="str">
        <f aca="false">IF(AND(10&gt;=$C6,10&lt;$C6+$D6),"■","")</f>
        <v/>
      </c>
      <c r="O6" s="47" t="str">
        <f aca="false">IF(AND(11&gt;=$C6,11&lt;$C6+$D6),"■","")</f>
        <v/>
      </c>
      <c r="P6" s="47" t="str">
        <f aca="false">IF(AND(12&gt;=$C6,12&lt;$C6+$D6),"■","")</f>
        <v/>
      </c>
      <c r="Q6" s="47" t="str">
        <f aca="false">IF(AND(13&gt;=$C6,13&lt;$C6+$D6),"■","")</f>
        <v/>
      </c>
      <c r="R6" s="47" t="str">
        <f aca="false">IF(AND(14&gt;=$C6,14&lt;$C6+$D6),"■","")</f>
        <v/>
      </c>
      <c r="S6" s="47" t="str">
        <f aca="false">IF(AND(15&gt;=$C6,15&lt;$C6+$D6),"■","")</f>
        <v/>
      </c>
    </row>
    <row r="7" customFormat="false" ht="15" hidden="false" customHeight="false" outlineLevel="0" collapsed="false">
      <c r="A7" s="18" t="s">
        <v>234</v>
      </c>
      <c r="B7" s="3" t="s">
        <v>235</v>
      </c>
      <c r="C7" s="46" t="n">
        <v>5</v>
      </c>
      <c r="D7" s="46" t="n">
        <v>3</v>
      </c>
      <c r="E7" s="47" t="str">
        <f aca="false">IF(AND(1&gt;=$C7,1&lt;$C7+$D7),"■","")</f>
        <v/>
      </c>
      <c r="F7" s="47" t="str">
        <f aca="false">IF(AND(2&gt;=$C7,2&lt;$C7+$D7),"■","")</f>
        <v/>
      </c>
      <c r="G7" s="47" t="str">
        <f aca="false">IF(AND(3&gt;=$C7,3&lt;$C7+$D7),"■","")</f>
        <v/>
      </c>
      <c r="H7" s="47" t="str">
        <f aca="false">IF(AND(4&gt;=$C7,4&lt;$C7+$D7),"■","")</f>
        <v/>
      </c>
      <c r="I7" s="47" t="str">
        <f aca="false">IF(AND(5&gt;=$C7,5&lt;$C7+$D7),"■","")</f>
        <v>■</v>
      </c>
      <c r="J7" s="47" t="str">
        <f aca="false">IF(AND(6&gt;=$C7,6&lt;$C7+$D7),"■","")</f>
        <v>■</v>
      </c>
      <c r="K7" s="47" t="str">
        <f aca="false">IF(AND(7&gt;=$C7,7&lt;$C7+$D7),"■","")</f>
        <v>■</v>
      </c>
      <c r="L7" s="47" t="str">
        <f aca="false">IF(AND(8&gt;=$C7,8&lt;$C7+$D7),"■","")</f>
        <v/>
      </c>
      <c r="M7" s="47" t="str">
        <f aca="false">IF(AND(9&gt;=$C7,9&lt;$C7+$D7),"■","")</f>
        <v/>
      </c>
      <c r="N7" s="47" t="str">
        <f aca="false">IF(AND(10&gt;=$C7,10&lt;$C7+$D7),"■","")</f>
        <v/>
      </c>
      <c r="O7" s="47" t="str">
        <f aca="false">IF(AND(11&gt;=$C7,11&lt;$C7+$D7),"■","")</f>
        <v/>
      </c>
      <c r="P7" s="47" t="str">
        <f aca="false">IF(AND(12&gt;=$C7,12&lt;$C7+$D7),"■","")</f>
        <v/>
      </c>
      <c r="Q7" s="47" t="str">
        <f aca="false">IF(AND(13&gt;=$C7,13&lt;$C7+$D7),"■","")</f>
        <v/>
      </c>
      <c r="R7" s="47" t="str">
        <f aca="false">IF(AND(14&gt;=$C7,14&lt;$C7+$D7),"■","")</f>
        <v/>
      </c>
      <c r="S7" s="47" t="str">
        <f aca="false">IF(AND(15&gt;=$C7,15&lt;$C7+$D7),"■","")</f>
        <v/>
      </c>
    </row>
    <row r="8" customFormat="false" ht="15" hidden="false" customHeight="false" outlineLevel="0" collapsed="false">
      <c r="A8" s="18" t="s">
        <v>236</v>
      </c>
      <c r="B8" s="3" t="s">
        <v>237</v>
      </c>
      <c r="C8" s="46" t="n">
        <v>8</v>
      </c>
      <c r="D8" s="46" t="n">
        <v>1</v>
      </c>
      <c r="E8" s="47" t="str">
        <f aca="false">IF(AND(1&gt;=$C8,1&lt;$C8+$D8),"■","")</f>
        <v/>
      </c>
      <c r="F8" s="47" t="str">
        <f aca="false">IF(AND(2&gt;=$C8,2&lt;$C8+$D8),"■","")</f>
        <v/>
      </c>
      <c r="G8" s="47" t="str">
        <f aca="false">IF(AND(3&gt;=$C8,3&lt;$C8+$D8),"■","")</f>
        <v/>
      </c>
      <c r="H8" s="47" t="str">
        <f aca="false">IF(AND(4&gt;=$C8,4&lt;$C8+$D8),"■","")</f>
        <v/>
      </c>
      <c r="I8" s="47" t="str">
        <f aca="false">IF(AND(5&gt;=$C8,5&lt;$C8+$D8),"■","")</f>
        <v/>
      </c>
      <c r="J8" s="47" t="str">
        <f aca="false">IF(AND(6&gt;=$C8,6&lt;$C8+$D8),"■","")</f>
        <v/>
      </c>
      <c r="K8" s="47" t="str">
        <f aca="false">IF(AND(7&gt;=$C8,7&lt;$C8+$D8),"■","")</f>
        <v/>
      </c>
      <c r="L8" s="47" t="str">
        <f aca="false">IF(AND(8&gt;=$C8,8&lt;$C8+$D8),"■","")</f>
        <v>■</v>
      </c>
      <c r="M8" s="47" t="str">
        <f aca="false">IF(AND(9&gt;=$C8,9&lt;$C8+$D8),"■","")</f>
        <v/>
      </c>
      <c r="N8" s="47" t="str">
        <f aca="false">IF(AND(10&gt;=$C8,10&lt;$C8+$D8),"■","")</f>
        <v/>
      </c>
      <c r="O8" s="47" t="str">
        <f aca="false">IF(AND(11&gt;=$C8,11&lt;$C8+$D8),"■","")</f>
        <v/>
      </c>
      <c r="P8" s="47" t="str">
        <f aca="false">IF(AND(12&gt;=$C8,12&lt;$C8+$D8),"■","")</f>
        <v/>
      </c>
      <c r="Q8" s="47" t="str">
        <f aca="false">IF(AND(13&gt;=$C8,13&lt;$C8+$D8),"■","")</f>
        <v/>
      </c>
      <c r="R8" s="47" t="str">
        <f aca="false">IF(AND(14&gt;=$C8,14&lt;$C8+$D8),"■","")</f>
        <v/>
      </c>
      <c r="S8" s="47" t="str">
        <f aca="false">IF(AND(15&gt;=$C8,15&lt;$C8+$D8),"■","")</f>
        <v/>
      </c>
    </row>
    <row r="9" customFormat="false" ht="15" hidden="false" customHeight="false" outlineLevel="0" collapsed="false">
      <c r="A9" s="15" t="s">
        <v>238</v>
      </c>
      <c r="B9" s="3" t="s">
        <v>239</v>
      </c>
      <c r="C9" s="46" t="n">
        <v>9</v>
      </c>
      <c r="D9" s="46" t="n">
        <v>1</v>
      </c>
      <c r="E9" s="47" t="str">
        <f aca="false">IF(AND(1&gt;=$C9,1&lt;$C9+$D9),"■","")</f>
        <v/>
      </c>
      <c r="F9" s="47" t="str">
        <f aca="false">IF(AND(2&gt;=$C9,2&lt;$C9+$D9),"■","")</f>
        <v/>
      </c>
      <c r="G9" s="47" t="str">
        <f aca="false">IF(AND(3&gt;=$C9,3&lt;$C9+$D9),"■","")</f>
        <v/>
      </c>
      <c r="H9" s="47" t="str">
        <f aca="false">IF(AND(4&gt;=$C9,4&lt;$C9+$D9),"■","")</f>
        <v/>
      </c>
      <c r="I9" s="47" t="str">
        <f aca="false">IF(AND(5&gt;=$C9,5&lt;$C9+$D9),"■","")</f>
        <v/>
      </c>
      <c r="J9" s="47" t="str">
        <f aca="false">IF(AND(6&gt;=$C9,6&lt;$C9+$D9),"■","")</f>
        <v/>
      </c>
      <c r="K9" s="47" t="str">
        <f aca="false">IF(AND(7&gt;=$C9,7&lt;$C9+$D9),"■","")</f>
        <v/>
      </c>
      <c r="L9" s="47" t="str">
        <f aca="false">IF(AND(8&gt;=$C9,8&lt;$C9+$D9),"■","")</f>
        <v/>
      </c>
      <c r="M9" s="47" t="str">
        <f aca="false">IF(AND(9&gt;=$C9,9&lt;$C9+$D9),"■","")</f>
        <v>■</v>
      </c>
      <c r="N9" s="47" t="str">
        <f aca="false">IF(AND(10&gt;=$C9,10&lt;$C9+$D9),"■","")</f>
        <v/>
      </c>
      <c r="O9" s="47" t="str">
        <f aca="false">IF(AND(11&gt;=$C9,11&lt;$C9+$D9),"■","")</f>
        <v/>
      </c>
      <c r="P9" s="47" t="str">
        <f aca="false">IF(AND(12&gt;=$C9,12&lt;$C9+$D9),"■","")</f>
        <v/>
      </c>
      <c r="Q9" s="47" t="str">
        <f aca="false">IF(AND(13&gt;=$C9,13&lt;$C9+$D9),"■","")</f>
        <v/>
      </c>
      <c r="R9" s="47" t="str">
        <f aca="false">IF(AND(14&gt;=$C9,14&lt;$C9+$D9),"■","")</f>
        <v/>
      </c>
      <c r="S9" s="47" t="str">
        <f aca="false">IF(AND(15&gt;=$C9,15&lt;$C9+$D9),"■","")</f>
        <v/>
      </c>
    </row>
    <row r="10" customFormat="false" ht="15" hidden="false" customHeight="false" outlineLevel="0" collapsed="false">
      <c r="A10" s="18" t="s">
        <v>240</v>
      </c>
      <c r="B10" s="3" t="s">
        <v>241</v>
      </c>
      <c r="C10" s="46" t="n">
        <v>8</v>
      </c>
      <c r="D10" s="46" t="n">
        <v>3</v>
      </c>
      <c r="E10" s="47" t="str">
        <f aca="false">IF(AND(1&gt;=$C10,1&lt;$C10+$D10),"■","")</f>
        <v/>
      </c>
      <c r="F10" s="47" t="str">
        <f aca="false">IF(AND(2&gt;=$C10,2&lt;$C10+$D10),"■","")</f>
        <v/>
      </c>
      <c r="G10" s="47" t="str">
        <f aca="false">IF(AND(3&gt;=$C10,3&lt;$C10+$D10),"■","")</f>
        <v/>
      </c>
      <c r="H10" s="47" t="str">
        <f aca="false">IF(AND(4&gt;=$C10,4&lt;$C10+$D10),"■","")</f>
        <v/>
      </c>
      <c r="I10" s="47" t="str">
        <f aca="false">IF(AND(5&gt;=$C10,5&lt;$C10+$D10),"■","")</f>
        <v/>
      </c>
      <c r="J10" s="47" t="str">
        <f aca="false">IF(AND(6&gt;=$C10,6&lt;$C10+$D10),"■","")</f>
        <v/>
      </c>
      <c r="K10" s="47" t="str">
        <f aca="false">IF(AND(7&gt;=$C10,7&lt;$C10+$D10),"■","")</f>
        <v/>
      </c>
      <c r="L10" s="47" t="str">
        <f aca="false">IF(AND(8&gt;=$C10,8&lt;$C10+$D10),"■","")</f>
        <v>■</v>
      </c>
      <c r="M10" s="47" t="str">
        <f aca="false">IF(AND(9&gt;=$C10,9&lt;$C10+$D10),"■","")</f>
        <v>■</v>
      </c>
      <c r="N10" s="47" t="str">
        <f aca="false">IF(AND(10&gt;=$C10,10&lt;$C10+$D10),"■","")</f>
        <v>■</v>
      </c>
      <c r="O10" s="47" t="str">
        <f aca="false">IF(AND(11&gt;=$C10,11&lt;$C10+$D10),"■","")</f>
        <v/>
      </c>
      <c r="P10" s="47" t="str">
        <f aca="false">IF(AND(12&gt;=$C10,12&lt;$C10+$D10),"■","")</f>
        <v/>
      </c>
      <c r="Q10" s="47" t="str">
        <f aca="false">IF(AND(13&gt;=$C10,13&lt;$C10+$D10),"■","")</f>
        <v/>
      </c>
      <c r="R10" s="47" t="str">
        <f aca="false">IF(AND(14&gt;=$C10,14&lt;$C10+$D10),"■","")</f>
        <v/>
      </c>
      <c r="S10" s="47" t="str">
        <f aca="false">IF(AND(15&gt;=$C10,15&lt;$C10+$D10),"■","")</f>
        <v/>
      </c>
    </row>
    <row r="11" customFormat="false" ht="15" hidden="false" customHeight="false" outlineLevel="0" collapsed="false">
      <c r="A11" s="18" t="s">
        <v>242</v>
      </c>
      <c r="B11" s="3" t="s">
        <v>243</v>
      </c>
      <c r="C11" s="46" t="n">
        <v>10</v>
      </c>
      <c r="D11" s="46" t="n">
        <v>3</v>
      </c>
      <c r="E11" s="47" t="str">
        <f aca="false">IF(AND(1&gt;=$C11,1&lt;$C11+$D11),"■","")</f>
        <v/>
      </c>
      <c r="F11" s="47" t="str">
        <f aca="false">IF(AND(2&gt;=$C11,2&lt;$C11+$D11),"■","")</f>
        <v/>
      </c>
      <c r="G11" s="47" t="str">
        <f aca="false">IF(AND(3&gt;=$C11,3&lt;$C11+$D11),"■","")</f>
        <v/>
      </c>
      <c r="H11" s="47" t="str">
        <f aca="false">IF(AND(4&gt;=$C11,4&lt;$C11+$D11),"■","")</f>
        <v/>
      </c>
      <c r="I11" s="47" t="str">
        <f aca="false">IF(AND(5&gt;=$C11,5&lt;$C11+$D11),"■","")</f>
        <v/>
      </c>
      <c r="J11" s="47" t="str">
        <f aca="false">IF(AND(6&gt;=$C11,6&lt;$C11+$D11),"■","")</f>
        <v/>
      </c>
      <c r="K11" s="47" t="str">
        <f aca="false">IF(AND(7&gt;=$C11,7&lt;$C11+$D11),"■","")</f>
        <v/>
      </c>
      <c r="L11" s="47" t="str">
        <f aca="false">IF(AND(8&gt;=$C11,8&lt;$C11+$D11),"■","")</f>
        <v/>
      </c>
      <c r="M11" s="47" t="str">
        <f aca="false">IF(AND(9&gt;=$C11,9&lt;$C11+$D11),"■","")</f>
        <v/>
      </c>
      <c r="N11" s="47" t="str">
        <f aca="false">IF(AND(10&gt;=$C11,10&lt;$C11+$D11),"■","")</f>
        <v>■</v>
      </c>
      <c r="O11" s="47" t="str">
        <f aca="false">IF(AND(11&gt;=$C11,11&lt;$C11+$D11),"■","")</f>
        <v>■</v>
      </c>
      <c r="P11" s="47" t="str">
        <f aca="false">IF(AND(12&gt;=$C11,12&lt;$C11+$D11),"■","")</f>
        <v>■</v>
      </c>
      <c r="Q11" s="47" t="str">
        <f aca="false">IF(AND(13&gt;=$C11,13&lt;$C11+$D11),"■","")</f>
        <v/>
      </c>
      <c r="R11" s="47" t="str">
        <f aca="false">IF(AND(14&gt;=$C11,14&lt;$C11+$D11),"■","")</f>
        <v/>
      </c>
      <c r="S11" s="47" t="str">
        <f aca="false">IF(AND(15&gt;=$C11,15&lt;$C11+$D11),"■","")</f>
        <v/>
      </c>
    </row>
    <row r="12" customFormat="false" ht="15" hidden="false" customHeight="false" outlineLevel="0" collapsed="false">
      <c r="A12" s="18" t="s">
        <v>244</v>
      </c>
      <c r="B12" s="3" t="s">
        <v>245</v>
      </c>
      <c r="C12" s="46" t="n">
        <v>9</v>
      </c>
      <c r="D12" s="46" t="n">
        <v>7</v>
      </c>
      <c r="E12" s="47" t="str">
        <f aca="false">IF(AND(1&gt;=$C12,1&lt;$C12+$D12),"■","")</f>
        <v/>
      </c>
      <c r="F12" s="47" t="str">
        <f aca="false">IF(AND(2&gt;=$C12,2&lt;$C12+$D12),"■","")</f>
        <v/>
      </c>
      <c r="G12" s="47" t="str">
        <f aca="false">IF(AND(3&gt;=$C12,3&lt;$C12+$D12),"■","")</f>
        <v/>
      </c>
      <c r="H12" s="47" t="str">
        <f aca="false">IF(AND(4&gt;=$C12,4&lt;$C12+$D12),"■","")</f>
        <v/>
      </c>
      <c r="I12" s="47" t="str">
        <f aca="false">IF(AND(5&gt;=$C12,5&lt;$C12+$D12),"■","")</f>
        <v/>
      </c>
      <c r="J12" s="47" t="str">
        <f aca="false">IF(AND(6&gt;=$C12,6&lt;$C12+$D12),"■","")</f>
        <v/>
      </c>
      <c r="K12" s="47" t="str">
        <f aca="false">IF(AND(7&gt;=$C12,7&lt;$C12+$D12),"■","")</f>
        <v/>
      </c>
      <c r="L12" s="47" t="str">
        <f aca="false">IF(AND(8&gt;=$C12,8&lt;$C12+$D12),"■","")</f>
        <v/>
      </c>
      <c r="M12" s="47" t="str">
        <f aca="false">IF(AND(9&gt;=$C12,9&lt;$C12+$D12),"■","")</f>
        <v>■</v>
      </c>
      <c r="N12" s="47" t="str">
        <f aca="false">IF(AND(10&gt;=$C12,10&lt;$C12+$D12),"■","")</f>
        <v>■</v>
      </c>
      <c r="O12" s="47" t="str">
        <f aca="false">IF(AND(11&gt;=$C12,11&lt;$C12+$D12),"■","")</f>
        <v>■</v>
      </c>
      <c r="P12" s="47" t="str">
        <f aca="false">IF(AND(12&gt;=$C12,12&lt;$C12+$D12),"■","")</f>
        <v>■</v>
      </c>
      <c r="Q12" s="47" t="str">
        <f aca="false">IF(AND(13&gt;=$C12,13&lt;$C12+$D12),"■","")</f>
        <v>■</v>
      </c>
      <c r="R12" s="47" t="str">
        <f aca="false">IF(AND(14&gt;=$C12,14&lt;$C12+$D12),"■","")</f>
        <v>■</v>
      </c>
      <c r="S12" s="47" t="str">
        <f aca="false">IF(AND(15&gt;=$C12,15&lt;$C12+$D12),"■","")</f>
        <v>■</v>
      </c>
    </row>
    <row r="13" customFormat="false" ht="15" hidden="false" customHeight="false" outlineLevel="0" collapsed="false">
      <c r="A13" s="18" t="s">
        <v>246</v>
      </c>
      <c r="B13" s="3" t="s">
        <v>247</v>
      </c>
      <c r="C13" s="46" t="n">
        <v>13</v>
      </c>
      <c r="D13" s="46" t="n">
        <v>3</v>
      </c>
      <c r="E13" s="47" t="str">
        <f aca="false">IF(AND(1&gt;=$C13,1&lt;$C13+$D13),"■","")</f>
        <v/>
      </c>
      <c r="F13" s="47" t="str">
        <f aca="false">IF(AND(2&gt;=$C13,2&lt;$C13+$D13),"■","")</f>
        <v/>
      </c>
      <c r="G13" s="47" t="str">
        <f aca="false">IF(AND(3&gt;=$C13,3&lt;$C13+$D13),"■","")</f>
        <v/>
      </c>
      <c r="H13" s="47" t="str">
        <f aca="false">IF(AND(4&gt;=$C13,4&lt;$C13+$D13),"■","")</f>
        <v/>
      </c>
      <c r="I13" s="47" t="str">
        <f aca="false">IF(AND(5&gt;=$C13,5&lt;$C13+$D13),"■","")</f>
        <v/>
      </c>
      <c r="J13" s="47" t="str">
        <f aca="false">IF(AND(6&gt;=$C13,6&lt;$C13+$D13),"■","")</f>
        <v/>
      </c>
      <c r="K13" s="47" t="str">
        <f aca="false">IF(AND(7&gt;=$C13,7&lt;$C13+$D13),"■","")</f>
        <v/>
      </c>
      <c r="L13" s="47" t="str">
        <f aca="false">IF(AND(8&gt;=$C13,8&lt;$C13+$D13),"■","")</f>
        <v/>
      </c>
      <c r="M13" s="47" t="str">
        <f aca="false">IF(AND(9&gt;=$C13,9&lt;$C13+$D13),"■","")</f>
        <v/>
      </c>
      <c r="N13" s="47" t="str">
        <f aca="false">IF(AND(10&gt;=$C13,10&lt;$C13+$D13),"■","")</f>
        <v/>
      </c>
      <c r="O13" s="47" t="str">
        <f aca="false">IF(AND(11&gt;=$C13,11&lt;$C13+$D13),"■","")</f>
        <v/>
      </c>
      <c r="P13" s="47" t="str">
        <f aca="false">IF(AND(12&gt;=$C13,12&lt;$C13+$D13),"■","")</f>
        <v/>
      </c>
      <c r="Q13" s="47" t="str">
        <f aca="false">IF(AND(13&gt;=$C13,13&lt;$C13+$D13),"■","")</f>
        <v>■</v>
      </c>
      <c r="R13" s="47" t="str">
        <f aca="false">IF(AND(14&gt;=$C13,14&lt;$C13+$D13),"■","")</f>
        <v>■</v>
      </c>
      <c r="S13" s="47" t="str">
        <f aca="false">IF(AND(15&gt;=$C13,15&lt;$C13+$D13),"■","")</f>
        <v>■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44"/>
    <col collapsed="false" customWidth="true" hidden="false" outlineLevel="0" max="5" min="4" style="0" width="22"/>
    <col collapsed="false" customWidth="true" hidden="false" outlineLevel="0" max="7" min="6" style="0" width="11"/>
    <col collapsed="false" customWidth="true" hidden="false" outlineLevel="0" max="8" min="8" style="0" width="50"/>
    <col collapsed="false" customWidth="true" hidden="false" outlineLevel="0" max="9" min="9" style="0" width="56"/>
  </cols>
  <sheetData>
    <row r="1" customFormat="false" ht="17.35" hidden="false" customHeight="false" outlineLevel="0" collapsed="false">
      <c r="A1" s="1" t="s">
        <v>248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249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4" t="s">
        <v>250</v>
      </c>
      <c r="B4" s="4" t="s">
        <v>251</v>
      </c>
      <c r="C4" s="4" t="s">
        <v>252</v>
      </c>
      <c r="D4" s="4" t="s">
        <v>253</v>
      </c>
      <c r="E4" s="4" t="s">
        <v>254</v>
      </c>
      <c r="F4" s="4" t="s">
        <v>255</v>
      </c>
      <c r="G4" s="4" t="s">
        <v>256</v>
      </c>
      <c r="H4" s="4" t="s">
        <v>257</v>
      </c>
      <c r="I4" s="4" t="s">
        <v>258</v>
      </c>
    </row>
    <row r="5" customFormat="false" ht="26.85" hidden="false" customHeight="false" outlineLevel="0" collapsed="false">
      <c r="A5" s="48" t="s">
        <v>259</v>
      </c>
      <c r="B5" s="49" t="s">
        <v>260</v>
      </c>
      <c r="C5" s="50" t="s">
        <v>261</v>
      </c>
      <c r="D5" s="49" t="s">
        <v>262</v>
      </c>
      <c r="E5" s="49" t="s">
        <v>263</v>
      </c>
      <c r="F5" s="51"/>
      <c r="G5" s="51"/>
      <c r="H5" s="49" t="s">
        <v>264</v>
      </c>
      <c r="I5" s="49" t="s">
        <v>265</v>
      </c>
    </row>
    <row r="6" customFormat="false" ht="26.85" hidden="false" customHeight="false" outlineLevel="0" collapsed="false">
      <c r="A6" s="49" t="s">
        <v>266</v>
      </c>
      <c r="B6" s="49" t="s">
        <v>267</v>
      </c>
      <c r="C6" s="50" t="s">
        <v>268</v>
      </c>
      <c r="D6" s="49" t="s">
        <v>269</v>
      </c>
      <c r="E6" s="49" t="s">
        <v>270</v>
      </c>
      <c r="F6" s="51"/>
      <c r="G6" s="51"/>
      <c r="H6" s="49" t="s">
        <v>271</v>
      </c>
      <c r="I6" s="49" t="s">
        <v>272</v>
      </c>
    </row>
    <row r="7" customFormat="false" ht="26.85" hidden="false" customHeight="false" outlineLevel="0" collapsed="false">
      <c r="A7" s="49" t="s">
        <v>273</v>
      </c>
      <c r="B7" s="49" t="s">
        <v>274</v>
      </c>
      <c r="C7" s="50" t="s">
        <v>275</v>
      </c>
      <c r="D7" s="49" t="s">
        <v>276</v>
      </c>
      <c r="E7" s="49" t="s">
        <v>270</v>
      </c>
      <c r="F7" s="51"/>
      <c r="G7" s="51"/>
      <c r="H7" s="49" t="s">
        <v>277</v>
      </c>
      <c r="I7" s="49" t="s">
        <v>278</v>
      </c>
    </row>
    <row r="8" customFormat="false" ht="26.85" hidden="false" customHeight="false" outlineLevel="0" collapsed="false">
      <c r="A8" s="49" t="s">
        <v>279</v>
      </c>
      <c r="B8" s="49" t="s">
        <v>280</v>
      </c>
      <c r="C8" s="50" t="s">
        <v>281</v>
      </c>
      <c r="D8" s="49" t="s">
        <v>269</v>
      </c>
      <c r="E8" s="49" t="s">
        <v>5</v>
      </c>
      <c r="F8" s="51"/>
      <c r="G8" s="51"/>
      <c r="H8" s="49" t="s">
        <v>282</v>
      </c>
      <c r="I8" s="49" t="s">
        <v>283</v>
      </c>
    </row>
    <row r="9" customFormat="false" ht="15" hidden="false" customHeight="false" outlineLevel="0" collapsed="false">
      <c r="A9" s="49" t="s">
        <v>284</v>
      </c>
      <c r="B9" s="49" t="s">
        <v>285</v>
      </c>
      <c r="C9" s="50" t="s">
        <v>286</v>
      </c>
      <c r="D9" s="49" t="s">
        <v>287</v>
      </c>
      <c r="E9" s="49" t="s">
        <v>287</v>
      </c>
      <c r="F9" s="51"/>
      <c r="G9" s="51"/>
      <c r="H9" s="49" t="s">
        <v>288</v>
      </c>
      <c r="I9" s="49" t="s">
        <v>289</v>
      </c>
    </row>
    <row r="10" customFormat="false" ht="15" hidden="false" customHeight="false" outlineLevel="0" collapsed="false">
      <c r="A10" s="49" t="s">
        <v>290</v>
      </c>
      <c r="B10" s="49" t="s">
        <v>291</v>
      </c>
      <c r="C10" s="50" t="s">
        <v>292</v>
      </c>
      <c r="D10" s="49" t="s">
        <v>287</v>
      </c>
      <c r="E10" s="49" t="s">
        <v>287</v>
      </c>
      <c r="F10" s="51"/>
      <c r="G10" s="51"/>
      <c r="H10" s="49" t="s">
        <v>293</v>
      </c>
      <c r="I10" s="49" t="s">
        <v>294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</row>
    <row r="12" customFormat="false" ht="15" hidden="false" customHeight="false" outlineLevel="0" collapsed="false">
      <c r="A12" s="3" t="s">
        <v>295</v>
      </c>
      <c r="B12" s="2"/>
      <c r="C12" s="2"/>
      <c r="D12" s="2"/>
      <c r="E12" s="2"/>
      <c r="F12" s="2"/>
      <c r="G12" s="2"/>
      <c r="H12" s="2"/>
      <c r="I12" s="2"/>
    </row>
  </sheetData>
  <hyperlinks>
    <hyperlink ref="C5" r:id="rId1" display="https://brogan-m-pratt.itch.io/yourfinancialstory"/>
    <hyperlink ref="C6" r:id="rId2" display="https://almost-safe-studio.itch.io/eviction-notice"/>
    <hyperlink ref="C7" r:id="rId3" display="https://babazw.itch.io/chengetedzo"/>
    <hyperlink ref="C8" r:id="rId4" display="https://nullexa.itch.io/money-games-budget-simulator"/>
    <hyperlink ref="C9" r:id="rId5" display="https://burningicicles.itch.io/simufy"/>
    <hyperlink ref="C10" r:id="rId6" display="https://bbutterscotch.itch.io/gainz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296</v>
      </c>
    </row>
    <row r="2" customFormat="false" ht="15" hidden="false" customHeight="false" outlineLevel="0" collapsed="false">
      <c r="A2" s="18" t="s">
        <v>297</v>
      </c>
    </row>
    <row r="3" customFormat="false" ht="15" hidden="false" customHeight="false" outlineLevel="0" collapsed="false">
      <c r="A3" s="18" t="s">
        <v>298</v>
      </c>
    </row>
    <row r="4" customFormat="false" ht="15" hidden="false" customHeight="false" outlineLevel="0" collapsed="false">
      <c r="A4" s="18" t="s">
        <v>299</v>
      </c>
    </row>
    <row r="5" customFormat="false" ht="15" hidden="false" customHeight="false" outlineLevel="0" collapsed="false">
      <c r="A5" s="18" t="s">
        <v>300</v>
      </c>
    </row>
    <row r="6" customFormat="false" ht="15" hidden="false" customHeight="false" outlineLevel="0" collapsed="false">
      <c r="A6" s="18" t="s">
        <v>301</v>
      </c>
    </row>
    <row r="7" customFormat="false" ht="15" hidden="false" customHeight="false" outlineLevel="0" collapsed="false">
      <c r="A7" s="18"/>
    </row>
    <row r="8" customFormat="false" ht="15" hidden="false" customHeight="false" outlineLevel="0" collapsed="false">
      <c r="A8" s="3" t="s">
        <v>302</v>
      </c>
    </row>
    <row r="9" customFormat="false" ht="15" hidden="false" customHeight="false" outlineLevel="0" collapsed="false">
      <c r="A9" s="3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2026-09-23T05:45:08Z</dcterms:created>
  <dc:creator>openpyxl</dc:creator>
  <dc:description/>
  <dc:language>en-US</dc:language>
  <cp:lastModifiedBy/>
  <dcterms:modified xsi:type="dcterms:W3CDTF">2026-09-23T05:45:08Z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